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2.xml" ContentType="application/vnd.openxmlformats-officedocument.spreadsheetml.comments+xml"/>
  <Override PartName="/xl/comments12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ME" sheetId="1" r:id="rId1"/>
    <sheet name="NFL Teams" sheetId="2" r:id="rId2"/>
    <sheet name="NFL Players" sheetId="3" r:id="rId3"/>
    <sheet name="NBA Teams" sheetId="4" r:id="rId4"/>
    <sheet name="NBA Players" sheetId="5" r:id="rId5"/>
    <sheet name="NHL Teams" sheetId="6" r:id="rId6"/>
    <sheet name="NHL Players" sheetId="7" r:id="rId7"/>
    <sheet name="WNBA Teams" sheetId="8" r:id="rId8"/>
    <sheet name="WNBA Players" sheetId="9" r:id="rId9"/>
    <sheet name="MLB Teams" sheetId="10" r:id="rId10"/>
    <sheet name="MLB Players" sheetId="11" r:id="rId11"/>
    <sheet name="Weather Model" sheetId="12" r:id="rId12"/>
  </sheets>
  <definedNames>
    <definedName name="_xlnm._FilterDatabase" localSheetId="1">'NFL Teams'!A1:K33</definedName>
    <definedName name="_xlnm._FilterDatabase" localSheetId="2">'NFL Players'!A1:G97</definedName>
    <definedName name="_xlnm._FilterDatabase" localSheetId="3">'NBA Teams'!A1:K31</definedName>
    <definedName name="_xlnm._FilterDatabase" localSheetId="4">'NBA Players'!A1:F91</definedName>
    <definedName name="_xlnm._FilterDatabase" localSheetId="5">'NHL Teams'!A1:M33</definedName>
    <definedName name="_xlnm._FilterDatabase" localSheetId="6">'NHL Players'!A1:F97</definedName>
    <definedName name="_xlnm._FilterDatabase" localSheetId="7">'WNBA Teams'!A1:I16</definedName>
    <definedName name="_xlnm._FilterDatabase" localSheetId="8">'WNBA Players'!A1:F46</definedName>
    <definedName name="_xlnm._FilterDatabase" localSheetId="9">'MLB Teams'!A1:K31</definedName>
    <definedName name="_xlnm._FilterDatabase" localSheetId="10">'MLB Players'!A1:I61</definedName>
  </definedNames>
</workbook>
</file>

<file path=xl/comments2.xml><?xml version="1.0" encoding="utf-8"?>
<comments xmlns="http://schemas.openxmlformats.org/spreadsheetml/2006/main">
  <authors>
    <author>TailEdge Research</author>
  </authors>
  <commentList>
    <comment ref="A1" authorId="0">
      <text>
        <t>Sample/illustrative data — see README. Team names reflect real 2026 NFL rosters.</t>
      </text>
    </comment>
  </commentList>
</comments>
</file>

<file path=xl/comments12.xml><?xml version="1.0" encoding="utf-8"?>
<comments xmlns="http://schemas.openxmlformats.org/spreadsheetml/2006/main">
  <authors>
    <author>TailEdge Research</author>
  </authors>
  <commentList>
    <comment ref="A3" authorId="0">
      <text>
        <t>Source: Covers.com, 'How Weather Actually Impacts NFL Betting', 2025; Wharton 2022 study on NFL wind/temperature bands.</t>
      </text>
    </comment>
    <comment ref="A11" authorId="0">
      <text>
        <t>Source: WeatherSTEM, 'NFL Cold Weather Statistics'.</t>
      </text>
    </comment>
    <comment ref="A19" authorId="0">
      <text>
        <t>Source: USA Today, 'Can weather predict home runs for your MLB team? The data says yes', 2026; SABR 'High Altitude Offense' study on stadium elevation and run scoring.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0.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Relationship Id="rId2" Type="http://schemas.openxmlformats.org/officeDocument/2006/relationships/comments" Target="../comments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2.vml"/><Relationship Id="rId2" Type="http://schemas.openxmlformats.org/officeDocument/2006/relationships/comments" Target="../comments1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6"/>
  <sheetViews>
    <sheetView workbookViewId="0"/>
  </sheetViews>
  <cols>
    <col min="1" max="1" width="110.83203125" customWidth="1"/>
  </cols>
  <sheetData>
    <row r="1">
      <c r="A1" t="str">
        <v>TailEdge Full League Dataset — Sample / Illustrative Workbook</v>
      </c>
    </row>
    <row r="2">
      <c r="A2" t="str">
        <v/>
      </c>
    </row>
    <row r="3">
      <c r="A3" t="str">
        <v>Scope: NFL (32 teams), NBA (30 teams), NHL (32 teams), WNBA (15 teams), MLB (30 teams) = 139 teams.</v>
      </c>
    </row>
    <row r="4">
      <c r="A4" t="str">
        <v>Each team sheet also includes a linked Players sheet with 2-3 key position/stat slots per team (300+ rows).</v>
      </c>
    </row>
    <row r="5">
      <c r="A5" t="str">
        <v/>
      </c>
    </row>
    <row r="6">
      <c r="A6" t="str">
        <v>IMPORTANT: Team and player NUMBERS in this workbook are SAMPLE/ILLUSTRATIVE data generated to demonstrate the exact</v>
      </c>
    </row>
    <row r="7">
      <c r="A7" t="str">
        <v>data structure and schema a production pick engine would run on. They are NOT live, current, or historically accurate</v>
      </c>
    </row>
    <row r="8">
      <c r="A8" t="str">
        <v>statistics. Team and player NAMES are drawn from real current league rosters (as of the 2026 season) so the schema</v>
      </c>
    </row>
    <row r="9">
      <c r="A9" t="str">
        <v>is realistic; player rows use generic position/role slots (QB1, PG1, C1, SP1, Bat1, etc.) rather than named athletes.</v>
      </c>
    </row>
    <row r="10">
      <c r="A10" t="str">
        <v/>
      </c>
    </row>
    <row r="11">
      <c r="A11" t="str">
        <v>A production version of this workbook would be refreshed nightly from a licensed live sports-data feed</v>
      </c>
    </row>
    <row r="12">
      <c r="A12" t="str">
        <v>(e.g. SportsRadar, Stats Perform, SportsDataIO) rather than generated sample values.</v>
      </c>
    </row>
    <row r="13">
      <c r="A13" t="str">
        <v/>
      </c>
    </row>
    <row r="14">
      <c r="A14" t="str">
        <v>The Weather Model sheet is the exception: its impact bands are calibrated from publicly available research</v>
      </c>
    </row>
    <row r="15">
      <c r="A15" t="str">
        <v>on how wind, temperature, humidity and altitude affect NFL and MLB performance (sources cited via cell comments).</v>
      </c>
    </row>
    <row r="16">
      <c r="A16" t="str">
        <v>Weather modeling only applies to NFL and MLB — NBA, WNBA and NHL are played indoors.</v>
      </c>
    </row>
  </sheetData>
  <ignoredErrors>
    <ignoredError numberStoredAsText="1" sqref="A1:A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/>
  </sheetViews>
  <cols>
    <col min="1" max="1" width="24.83203125" customWidth="1"/>
    <col min="2" max="2" width="10.83203125" customWidth="1"/>
    <col min="3" max="3" width="9.83203125" customWidth="1"/>
    <col min="4" max="4" width="7.83203125" customWidth="1"/>
    <col min="5" max="5" width="6.83203125" customWidth="1"/>
    <col min="6" max="6" width="7.83203125" customWidth="1"/>
    <col min="7" max="7" width="8.83203125" customWidth="1"/>
    <col min="8" max="8" width="7.83203125" customWidth="1"/>
    <col min="9" max="9" width="8.83203125" customWidth="1"/>
    <col min="10" max="10" width="10.83203125" customWidth="1"/>
    <col min="11" max="11" width="15.83203125" customWidth="1"/>
  </cols>
  <sheetData>
    <row r="1">
      <c r="A1" t="str">
        <v>Team</v>
      </c>
      <c r="B1" t="str">
        <v>Conference</v>
      </c>
      <c r="C1" t="str">
        <v>Division</v>
      </c>
      <c r="D1" t="str">
        <v>Games</v>
      </c>
      <c r="E1" t="str">
        <v>Wins</v>
      </c>
      <c r="F1" t="str">
        <v>Losses</v>
      </c>
      <c r="G1" t="str">
        <v>Win %</v>
      </c>
      <c r="H1" t="str">
        <v>PPG</v>
      </c>
      <c r="I1" t="str">
        <v>Opp PPG</v>
      </c>
      <c r="J1" t="str">
        <v>Yards/Gm</v>
      </c>
      <c r="K1" t="str">
        <v>Turnover Margin</v>
      </c>
    </row>
    <row r="2">
      <c r="A2" t="str">
        <v>Buffalo Bills</v>
      </c>
      <c r="B2" t="str">
        <v>AFC</v>
      </c>
      <c r="C2" t="str">
        <v>East</v>
      </c>
      <c r="D2">
        <v>17</v>
      </c>
      <c r="E2">
        <v>11</v>
      </c>
      <c r="F2">
        <f>D2-E2</f>
      </c>
      <c r="G2" s="1">
        <f>E2/D2</f>
      </c>
      <c r="H2">
        <v>25.3</v>
      </c>
      <c r="I2">
        <v>16.1</v>
      </c>
      <c r="J2">
        <v>332</v>
      </c>
      <c r="K2">
        <v>-10</v>
      </c>
    </row>
    <row r="3">
      <c r="A3" t="str">
        <v>Miami Dolphins</v>
      </c>
      <c r="B3" t="str">
        <v>AFC</v>
      </c>
      <c r="C3" t="str">
        <v>East</v>
      </c>
      <c r="D3">
        <v>17</v>
      </c>
      <c r="E3">
        <v>6</v>
      </c>
      <c r="F3">
        <f>D3-E3</f>
      </c>
      <c r="G3" s="1">
        <f>E3/D3</f>
      </c>
      <c r="H3">
        <v>25.5</v>
      </c>
      <c r="I3">
        <v>24.6</v>
      </c>
      <c r="J3">
        <v>337</v>
      </c>
      <c r="K3">
        <v>-9</v>
      </c>
    </row>
    <row r="4">
      <c r="A4" t="str">
        <v>New England Patriots</v>
      </c>
      <c r="B4" t="str">
        <v>AFC</v>
      </c>
      <c r="C4" t="str">
        <v>East</v>
      </c>
      <c r="D4">
        <v>17</v>
      </c>
      <c r="E4">
        <v>14</v>
      </c>
      <c r="F4">
        <f>D4-E4</f>
      </c>
      <c r="G4" s="1">
        <f>E4/D4</f>
      </c>
      <c r="H4">
        <v>27.6</v>
      </c>
      <c r="I4">
        <v>25.8</v>
      </c>
      <c r="J4">
        <v>298</v>
      </c>
      <c r="K4">
        <v>-8</v>
      </c>
    </row>
    <row r="5">
      <c r="A5" t="str">
        <v>New York Jets</v>
      </c>
      <c r="B5" t="str">
        <v>AFC</v>
      </c>
      <c r="C5" t="str">
        <v>East</v>
      </c>
      <c r="D5">
        <v>17</v>
      </c>
      <c r="E5">
        <v>12</v>
      </c>
      <c r="F5">
        <f>D5-E5</f>
      </c>
      <c r="G5" s="1">
        <f>E5/D5</f>
      </c>
      <c r="H5">
        <v>21.1</v>
      </c>
      <c r="I5">
        <v>16</v>
      </c>
      <c r="J5">
        <v>383</v>
      </c>
      <c r="K5">
        <v>-7</v>
      </c>
    </row>
    <row r="6">
      <c r="A6" t="str">
        <v>Baltimore Ravens</v>
      </c>
      <c r="B6" t="str">
        <v>AFC</v>
      </c>
      <c r="C6" t="str">
        <v>North</v>
      </c>
      <c r="D6">
        <v>17</v>
      </c>
      <c r="E6">
        <v>7</v>
      </c>
      <c r="F6">
        <f>D6-E6</f>
      </c>
      <c r="G6" s="1">
        <f>E6/D6</f>
      </c>
      <c r="H6">
        <v>21.3</v>
      </c>
      <c r="I6">
        <v>27.2</v>
      </c>
      <c r="J6">
        <v>389</v>
      </c>
      <c r="K6">
        <v>6</v>
      </c>
    </row>
    <row r="7">
      <c r="A7" t="str">
        <v>Cincinnati Bengals</v>
      </c>
      <c r="B7" t="str">
        <v>AFC</v>
      </c>
      <c r="C7" t="str">
        <v>North</v>
      </c>
      <c r="D7">
        <v>17</v>
      </c>
      <c r="E7">
        <v>7</v>
      </c>
      <c r="F7">
        <f>D7-E7</f>
      </c>
      <c r="G7" s="1">
        <f>E7/D7</f>
      </c>
      <c r="H7">
        <v>28</v>
      </c>
      <c r="I7">
        <v>16.5</v>
      </c>
      <c r="J7">
        <v>367</v>
      </c>
      <c r="K7">
        <v>3</v>
      </c>
    </row>
    <row r="8">
      <c r="A8" t="str">
        <v>Cleveland Browns</v>
      </c>
      <c r="B8" t="str">
        <v>AFC</v>
      </c>
      <c r="C8" t="str">
        <v>North</v>
      </c>
      <c r="D8">
        <v>17</v>
      </c>
      <c r="E8">
        <v>7</v>
      </c>
      <c r="F8">
        <f>D8-E8</f>
      </c>
      <c r="G8" s="1">
        <f>E8/D8</f>
      </c>
      <c r="H8">
        <v>25.8</v>
      </c>
      <c r="I8">
        <v>26.9</v>
      </c>
      <c r="J8">
        <v>313</v>
      </c>
      <c r="K8">
        <v>-6</v>
      </c>
    </row>
    <row r="9">
      <c r="A9" t="str">
        <v>Pittsburgh Steelers</v>
      </c>
      <c r="B9" t="str">
        <v>AFC</v>
      </c>
      <c r="C9" t="str">
        <v>North</v>
      </c>
      <c r="D9">
        <v>17</v>
      </c>
      <c r="E9">
        <v>7</v>
      </c>
      <c r="F9">
        <f>D9-E9</f>
      </c>
      <c r="G9" s="1">
        <f>E9/D9</f>
      </c>
      <c r="H9">
        <v>20.2</v>
      </c>
      <c r="I9">
        <v>16.9</v>
      </c>
      <c r="J9">
        <v>299</v>
      </c>
      <c r="K9">
        <v>-9</v>
      </c>
    </row>
    <row r="10">
      <c r="A10" t="str">
        <v>Houston Texans</v>
      </c>
      <c r="B10" t="str">
        <v>AFC</v>
      </c>
      <c r="C10" t="str">
        <v>South</v>
      </c>
      <c r="D10">
        <v>17</v>
      </c>
      <c r="E10">
        <v>11</v>
      </c>
      <c r="F10">
        <f>D10-E10</f>
      </c>
      <c r="G10" s="1">
        <f>E10/D10</f>
      </c>
      <c r="H10">
        <v>30.8</v>
      </c>
      <c r="I10">
        <v>18.7</v>
      </c>
      <c r="J10">
        <v>346</v>
      </c>
      <c r="K10">
        <v>15</v>
      </c>
    </row>
    <row r="11">
      <c r="A11" t="str">
        <v>Indianapolis Colts</v>
      </c>
      <c r="B11" t="str">
        <v>AFC</v>
      </c>
      <c r="C11" t="str">
        <v>South</v>
      </c>
      <c r="D11">
        <v>17</v>
      </c>
      <c r="E11">
        <v>4</v>
      </c>
      <c r="F11">
        <f>D11-E11</f>
      </c>
      <c r="G11" s="1">
        <f>E11/D11</f>
      </c>
      <c r="H11">
        <v>21.9</v>
      </c>
      <c r="I11">
        <v>19</v>
      </c>
      <c r="J11">
        <v>366</v>
      </c>
      <c r="K11">
        <v>0</v>
      </c>
    </row>
    <row r="12">
      <c r="A12" t="str">
        <v>Jacksonville Jaguars</v>
      </c>
      <c r="B12" t="str">
        <v>AFC</v>
      </c>
      <c r="C12" t="str">
        <v>South</v>
      </c>
      <c r="D12">
        <v>17</v>
      </c>
      <c r="E12">
        <v>3</v>
      </c>
      <c r="F12">
        <f>D12-E12</f>
      </c>
      <c r="G12" s="1">
        <f>E12/D12</f>
      </c>
      <c r="H12">
        <v>25</v>
      </c>
      <c r="I12">
        <v>26</v>
      </c>
      <c r="J12">
        <v>377</v>
      </c>
      <c r="K12">
        <v>-9</v>
      </c>
    </row>
    <row r="13">
      <c r="A13" t="str">
        <v>Tennessee Titans</v>
      </c>
      <c r="B13" t="str">
        <v>AFC</v>
      </c>
      <c r="C13" t="str">
        <v>South</v>
      </c>
      <c r="D13">
        <v>17</v>
      </c>
      <c r="E13">
        <v>12</v>
      </c>
      <c r="F13">
        <f>D13-E13</f>
      </c>
      <c r="G13" s="1">
        <f>E13/D13</f>
      </c>
      <c r="H13">
        <v>29.6</v>
      </c>
      <c r="I13">
        <v>21.7</v>
      </c>
      <c r="J13">
        <v>341</v>
      </c>
      <c r="K13">
        <v>-3</v>
      </c>
    </row>
    <row r="14">
      <c r="A14" t="str">
        <v>Denver Broncos</v>
      </c>
      <c r="B14" t="str">
        <v>AFC</v>
      </c>
      <c r="C14" t="str">
        <v>West</v>
      </c>
      <c r="D14">
        <v>17</v>
      </c>
      <c r="E14">
        <v>10</v>
      </c>
      <c r="F14">
        <f>D14-E14</f>
      </c>
      <c r="G14" s="1">
        <f>E14/D14</f>
      </c>
      <c r="H14">
        <v>24.4</v>
      </c>
      <c r="I14">
        <v>18.3</v>
      </c>
      <c r="J14">
        <v>290</v>
      </c>
      <c r="K14">
        <v>11</v>
      </c>
    </row>
    <row r="15">
      <c r="A15" t="str">
        <v>Kansas City Chiefs</v>
      </c>
      <c r="B15" t="str">
        <v>AFC</v>
      </c>
      <c r="C15" t="str">
        <v>West</v>
      </c>
      <c r="D15">
        <v>17</v>
      </c>
      <c r="E15">
        <v>5</v>
      </c>
      <c r="F15">
        <f>D15-E15</f>
      </c>
      <c r="G15" s="1">
        <f>E15/D15</f>
      </c>
      <c r="H15">
        <v>18.1</v>
      </c>
      <c r="I15">
        <v>23</v>
      </c>
      <c r="J15">
        <v>394</v>
      </c>
      <c r="K15">
        <v>-11</v>
      </c>
    </row>
    <row r="16">
      <c r="A16" t="str">
        <v>Las Vegas Raiders</v>
      </c>
      <c r="B16" t="str">
        <v>AFC</v>
      </c>
      <c r="C16" t="str">
        <v>West</v>
      </c>
      <c r="D16">
        <v>17</v>
      </c>
      <c r="E16">
        <v>7</v>
      </c>
      <c r="F16">
        <f>D16-E16</f>
      </c>
      <c r="G16" s="1">
        <f>E16/D16</f>
      </c>
      <c r="H16">
        <v>20.8</v>
      </c>
      <c r="I16">
        <v>26.8</v>
      </c>
      <c r="J16">
        <v>292</v>
      </c>
      <c r="K16">
        <v>-10</v>
      </c>
    </row>
    <row r="17">
      <c r="A17" t="str">
        <v>Los Angeles Chargers</v>
      </c>
      <c r="B17" t="str">
        <v>AFC</v>
      </c>
      <c r="C17" t="str">
        <v>West</v>
      </c>
      <c r="D17">
        <v>17</v>
      </c>
      <c r="E17">
        <v>13</v>
      </c>
      <c r="F17">
        <f>D17-E17</f>
      </c>
      <c r="G17" s="1">
        <f>E17/D17</f>
      </c>
      <c r="H17">
        <v>21.8</v>
      </c>
      <c r="I17">
        <v>22.9</v>
      </c>
      <c r="J17">
        <v>361</v>
      </c>
      <c r="K17">
        <v>-4</v>
      </c>
    </row>
    <row r="18">
      <c r="A18" t="str">
        <v>Dallas Cowboys</v>
      </c>
      <c r="B18" t="str">
        <v>NFC</v>
      </c>
      <c r="C18" t="str">
        <v>East</v>
      </c>
      <c r="D18">
        <v>17</v>
      </c>
      <c r="E18">
        <v>14</v>
      </c>
      <c r="F18">
        <f>D18-E18</f>
      </c>
      <c r="G18" s="1">
        <f>E18/D18</f>
      </c>
      <c r="H18">
        <v>25.4</v>
      </c>
      <c r="I18">
        <v>25.3</v>
      </c>
      <c r="J18">
        <v>392</v>
      </c>
      <c r="K18">
        <v>10</v>
      </c>
    </row>
    <row r="19">
      <c r="A19" t="str">
        <v>New York Giants</v>
      </c>
      <c r="B19" t="str">
        <v>NFC</v>
      </c>
      <c r="C19" t="str">
        <v>East</v>
      </c>
      <c r="D19">
        <v>17</v>
      </c>
      <c r="E19">
        <v>12</v>
      </c>
      <c r="F19">
        <f>D19-E19</f>
      </c>
      <c r="G19" s="1">
        <f>E19/D19</f>
      </c>
      <c r="H19">
        <v>28</v>
      </c>
      <c r="I19">
        <v>23.4</v>
      </c>
      <c r="J19">
        <v>294</v>
      </c>
      <c r="K19">
        <v>7</v>
      </c>
    </row>
    <row r="20">
      <c r="A20" t="str">
        <v>Philadelphia Eagles</v>
      </c>
      <c r="B20" t="str">
        <v>NFC</v>
      </c>
      <c r="C20" t="str">
        <v>East</v>
      </c>
      <c r="D20">
        <v>17</v>
      </c>
      <c r="E20">
        <v>14</v>
      </c>
      <c r="F20">
        <f>D20-E20</f>
      </c>
      <c r="G20" s="1">
        <f>E20/D20</f>
      </c>
      <c r="H20">
        <v>24.5</v>
      </c>
      <c r="I20">
        <v>16.8</v>
      </c>
      <c r="J20">
        <v>346</v>
      </c>
      <c r="K20">
        <v>-10</v>
      </c>
    </row>
    <row r="21">
      <c r="A21" t="str">
        <v>Washington Commanders</v>
      </c>
      <c r="B21" t="str">
        <v>NFC</v>
      </c>
      <c r="C21" t="str">
        <v>East</v>
      </c>
      <c r="D21">
        <v>17</v>
      </c>
      <c r="E21">
        <v>6</v>
      </c>
      <c r="F21">
        <f>D21-E21</f>
      </c>
      <c r="G21" s="1">
        <f>E21/D21</f>
      </c>
      <c r="H21">
        <v>20.8</v>
      </c>
      <c r="I21">
        <v>27.3</v>
      </c>
      <c r="J21">
        <v>328</v>
      </c>
      <c r="K21">
        <v>7</v>
      </c>
    </row>
    <row r="22">
      <c r="A22" t="str">
        <v>Chicago Bears</v>
      </c>
      <c r="B22" t="str">
        <v>NFC</v>
      </c>
      <c r="C22" t="str">
        <v>North</v>
      </c>
      <c r="D22">
        <v>17</v>
      </c>
      <c r="E22">
        <v>7</v>
      </c>
      <c r="F22">
        <f>D22-E22</f>
      </c>
      <c r="G22" s="1">
        <f>E22/D22</f>
      </c>
      <c r="H22">
        <v>17.4</v>
      </c>
      <c r="I22">
        <v>24.6</v>
      </c>
      <c r="J22">
        <v>391</v>
      </c>
      <c r="K22">
        <v>-9</v>
      </c>
    </row>
    <row r="23">
      <c r="A23" t="str">
        <v>Detroit Lions</v>
      </c>
      <c r="B23" t="str">
        <v>NFC</v>
      </c>
      <c r="C23" t="str">
        <v>North</v>
      </c>
      <c r="D23">
        <v>17</v>
      </c>
      <c r="E23">
        <v>8</v>
      </c>
      <c r="F23">
        <f>D23-E23</f>
      </c>
      <c r="G23" s="1">
        <f>E23/D23</f>
      </c>
      <c r="H23">
        <v>17.5</v>
      </c>
      <c r="I23">
        <v>21.3</v>
      </c>
      <c r="J23">
        <v>311</v>
      </c>
      <c r="K23">
        <v>1</v>
      </c>
    </row>
    <row r="24">
      <c r="A24" t="str">
        <v>Green Bay Packers</v>
      </c>
      <c r="B24" t="str">
        <v>NFC</v>
      </c>
      <c r="C24" t="str">
        <v>North</v>
      </c>
      <c r="D24">
        <v>17</v>
      </c>
      <c r="E24">
        <v>15</v>
      </c>
      <c r="F24">
        <f>D24-E24</f>
      </c>
      <c r="G24" s="1">
        <f>E24/D24</f>
      </c>
      <c r="H24">
        <v>19.3</v>
      </c>
      <c r="I24">
        <v>24.5</v>
      </c>
      <c r="J24">
        <v>375</v>
      </c>
      <c r="K24">
        <v>3</v>
      </c>
    </row>
    <row r="25">
      <c r="A25" t="str">
        <v>Minnesota Vikings</v>
      </c>
      <c r="B25" t="str">
        <v>NFC</v>
      </c>
      <c r="C25" t="str">
        <v>North</v>
      </c>
      <c r="D25">
        <v>17</v>
      </c>
      <c r="E25">
        <v>15</v>
      </c>
      <c r="F25">
        <f>D25-E25</f>
      </c>
      <c r="G25" s="1">
        <f>E25/D25</f>
      </c>
      <c r="H25">
        <v>17</v>
      </c>
      <c r="I25">
        <v>22.2</v>
      </c>
      <c r="J25">
        <v>346</v>
      </c>
      <c r="K25">
        <v>-3</v>
      </c>
    </row>
    <row r="26">
      <c r="A26" t="str">
        <v>Atlanta Falcons</v>
      </c>
      <c r="B26" t="str">
        <v>NFC</v>
      </c>
      <c r="C26" t="str">
        <v>South</v>
      </c>
      <c r="D26">
        <v>17</v>
      </c>
      <c r="E26">
        <v>5</v>
      </c>
      <c r="F26">
        <f>D26-E26</f>
      </c>
      <c r="G26" s="1">
        <f>E26/D26</f>
      </c>
      <c r="H26">
        <v>20.3</v>
      </c>
      <c r="I26">
        <v>26.5</v>
      </c>
      <c r="J26">
        <v>315</v>
      </c>
      <c r="K26">
        <v>-2</v>
      </c>
    </row>
    <row r="27">
      <c r="A27" t="str">
        <v>Carolina Panthers</v>
      </c>
      <c r="B27" t="str">
        <v>NFC</v>
      </c>
      <c r="C27" t="str">
        <v>South</v>
      </c>
      <c r="D27">
        <v>17</v>
      </c>
      <c r="E27">
        <v>3</v>
      </c>
      <c r="F27">
        <f>D27-E27</f>
      </c>
      <c r="G27" s="1">
        <f>E27/D27</f>
      </c>
      <c r="H27">
        <v>23.7</v>
      </c>
      <c r="I27">
        <v>16.9</v>
      </c>
      <c r="J27">
        <v>349</v>
      </c>
      <c r="K27">
        <v>15</v>
      </c>
    </row>
    <row r="28">
      <c r="A28" t="str">
        <v>New Orleans Saints</v>
      </c>
      <c r="B28" t="str">
        <v>NFC</v>
      </c>
      <c r="C28" t="str">
        <v>South</v>
      </c>
      <c r="D28">
        <v>17</v>
      </c>
      <c r="E28">
        <v>14</v>
      </c>
      <c r="F28">
        <f>D28-E28</f>
      </c>
      <c r="G28" s="1">
        <f>E28/D28</f>
      </c>
      <c r="H28">
        <v>22.6</v>
      </c>
      <c r="I28">
        <v>20.7</v>
      </c>
      <c r="J28">
        <v>324</v>
      </c>
      <c r="K28">
        <v>0</v>
      </c>
    </row>
    <row r="29">
      <c r="A29" t="str">
        <v>Tampa Bay Buccaneers</v>
      </c>
      <c r="B29" t="str">
        <v>NFC</v>
      </c>
      <c r="C29" t="str">
        <v>South</v>
      </c>
      <c r="D29">
        <v>17</v>
      </c>
      <c r="E29">
        <v>3</v>
      </c>
      <c r="F29">
        <f>D29-E29</f>
      </c>
      <c r="G29" s="1">
        <f>E29/D29</f>
      </c>
      <c r="H29">
        <v>25.7</v>
      </c>
      <c r="I29">
        <v>20.5</v>
      </c>
      <c r="J29">
        <v>294</v>
      </c>
      <c r="K29">
        <v>10</v>
      </c>
    </row>
    <row r="30">
      <c r="A30" t="str">
        <v>Arizona Cardinals</v>
      </c>
      <c r="B30" t="str">
        <v>NFC</v>
      </c>
      <c r="C30" t="str">
        <v>West</v>
      </c>
      <c r="D30">
        <v>17</v>
      </c>
      <c r="E30">
        <v>5</v>
      </c>
      <c r="F30">
        <f>D30-E30</f>
      </c>
      <c r="G30" s="1">
        <f>E30/D30</f>
      </c>
      <c r="H30">
        <v>29.8</v>
      </c>
      <c r="I30">
        <v>18.9</v>
      </c>
      <c r="J30">
        <v>394</v>
      </c>
      <c r="K30">
        <v>-15</v>
      </c>
    </row>
    <row r="31">
      <c r="A31" t="str">
        <v>Los Angeles Rams</v>
      </c>
      <c r="B31" t="str">
        <v>NFC</v>
      </c>
      <c r="C31" t="str">
        <v>West</v>
      </c>
      <c r="D31">
        <v>17</v>
      </c>
      <c r="E31">
        <v>15</v>
      </c>
      <c r="F31">
        <f>D31-E31</f>
      </c>
      <c r="G31" s="1">
        <f>E31/D31</f>
      </c>
      <c r="H31">
        <v>17.5</v>
      </c>
      <c r="I31">
        <v>24.2</v>
      </c>
      <c r="J31">
        <v>376</v>
      </c>
      <c r="K31">
        <v>-2</v>
      </c>
    </row>
    <row r="32">
      <c r="A32" t="str">
        <v>San Francisco 49ers</v>
      </c>
      <c r="B32" t="str">
        <v>NFC</v>
      </c>
      <c r="C32" t="str">
        <v>West</v>
      </c>
      <c r="D32">
        <v>17</v>
      </c>
      <c r="E32">
        <v>12</v>
      </c>
      <c r="F32">
        <f>D32-E32</f>
      </c>
      <c r="G32" s="1">
        <f>E32/D32</f>
      </c>
      <c r="H32">
        <v>23.2</v>
      </c>
      <c r="I32">
        <v>16.6</v>
      </c>
      <c r="J32">
        <v>301</v>
      </c>
      <c r="K32">
        <v>8</v>
      </c>
    </row>
    <row r="33">
      <c r="A33" t="str">
        <v>Seattle Seahawks</v>
      </c>
      <c r="B33" t="str">
        <v>NFC</v>
      </c>
      <c r="C33" t="str">
        <v>West</v>
      </c>
      <c r="D33">
        <v>17</v>
      </c>
      <c r="E33">
        <v>10</v>
      </c>
      <c r="F33">
        <f>D33-E33</f>
      </c>
      <c r="G33" s="1">
        <f>E33/D33</f>
      </c>
      <c r="H33">
        <v>28</v>
      </c>
      <c r="I33">
        <v>20</v>
      </c>
      <c r="J33">
        <v>332</v>
      </c>
      <c r="K33">
        <v>-13</v>
      </c>
    </row>
  </sheetData>
  <autoFilter ref="A1:K33"/>
  <ignoredErrors>
    <ignoredError numberStoredAsText="1" sqref="A1:K33"/>
  </ignoredErrors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97"/>
  <sheetViews>
    <sheetView workbookViewId="0"/>
  </sheetViews>
  <cols>
    <col min="1" max="1" width="24.83203125" customWidth="1"/>
    <col min="2" max="2" width="7.83203125" customWidth="1"/>
    <col min="3" max="3" width="13.83203125" customWidth="1"/>
    <col min="4" max="4" width="12.83203125" customWidth="1"/>
    <col min="5" max="5" width="13.83203125" customWidth="1"/>
    <col min="6" max="6" width="15.83203125" customWidth="1"/>
    <col min="7" max="7" width="11.83203125" customWidth="1"/>
  </cols>
  <sheetData>
    <row r="1">
      <c r="A1" t="str">
        <v>Team</v>
      </c>
      <c r="B1" t="str">
        <v>Slot</v>
      </c>
      <c r="C1" t="str">
        <v>Pass Yds/Gm</v>
      </c>
      <c r="D1" t="str">
        <v>Pass TD/Gm</v>
      </c>
      <c r="E1" t="str">
        <v>Rush Yds/Gm</v>
      </c>
      <c r="F1" t="str">
        <v>Receptions/Gm</v>
      </c>
      <c r="G1" t="str">
        <v>Rec Yds/Gm</v>
      </c>
    </row>
    <row r="2">
      <c r="A2" t="str">
        <v>Buffalo Bills</v>
      </c>
      <c r="B2" t="str">
        <v>QB1</v>
      </c>
      <c r="C2">
        <v>279.9</v>
      </c>
      <c r="D2">
        <v>1.4</v>
      </c>
      <c r="E2">
        <v>20.3</v>
      </c>
    </row>
    <row r="3">
      <c r="A3" t="str">
        <v>Buffalo Bills</v>
      </c>
      <c r="B3" t="str">
        <v>RB1</v>
      </c>
      <c r="E3">
        <v>73.8</v>
      </c>
      <c r="F3">
        <v>2.3</v>
      </c>
      <c r="G3">
        <v>41.8</v>
      </c>
    </row>
    <row r="4">
      <c r="A4" t="str">
        <v>Buffalo Bills</v>
      </c>
      <c r="B4" t="str">
        <v>WR1</v>
      </c>
      <c r="F4">
        <v>7.2</v>
      </c>
      <c r="G4">
        <v>100.5</v>
      </c>
    </row>
    <row r="5">
      <c r="A5" t="str">
        <v>Miami Dolphins</v>
      </c>
      <c r="B5" t="str">
        <v>QB1</v>
      </c>
      <c r="C5">
        <v>270.4</v>
      </c>
      <c r="D5">
        <v>1</v>
      </c>
      <c r="E5">
        <v>31.8</v>
      </c>
    </row>
    <row r="6">
      <c r="A6" t="str">
        <v>Miami Dolphins</v>
      </c>
      <c r="B6" t="str">
        <v>RB1</v>
      </c>
      <c r="E6">
        <v>75.1</v>
      </c>
      <c r="F6">
        <v>1.8</v>
      </c>
      <c r="G6">
        <v>30.8</v>
      </c>
    </row>
    <row r="7">
      <c r="A7" t="str">
        <v>Miami Dolphins</v>
      </c>
      <c r="B7" t="str">
        <v>WR1</v>
      </c>
      <c r="F7">
        <v>7</v>
      </c>
      <c r="G7">
        <v>89.4</v>
      </c>
    </row>
    <row r="8">
      <c r="A8" t="str">
        <v>New England Patriots</v>
      </c>
      <c r="B8" t="str">
        <v>QB1</v>
      </c>
      <c r="C8">
        <v>222.2</v>
      </c>
      <c r="D8">
        <v>1.2</v>
      </c>
      <c r="E8">
        <v>24</v>
      </c>
    </row>
    <row r="9">
      <c r="A9" t="str">
        <v>New England Patriots</v>
      </c>
      <c r="B9" t="str">
        <v>RB1</v>
      </c>
      <c r="E9">
        <v>59.7</v>
      </c>
      <c r="F9">
        <v>3.2</v>
      </c>
      <c r="G9">
        <v>19.6</v>
      </c>
    </row>
    <row r="10">
      <c r="A10" t="str">
        <v>New England Patriots</v>
      </c>
      <c r="B10" t="str">
        <v>WR1</v>
      </c>
      <c r="F10">
        <v>6.7</v>
      </c>
      <c r="G10">
        <v>70.9</v>
      </c>
    </row>
    <row r="11">
      <c r="A11" t="str">
        <v>New York Jets</v>
      </c>
      <c r="B11" t="str">
        <v>QB1</v>
      </c>
      <c r="C11">
        <v>248.4</v>
      </c>
      <c r="D11">
        <v>2.4</v>
      </c>
      <c r="E11">
        <v>41.5</v>
      </c>
    </row>
    <row r="12">
      <c r="A12" t="str">
        <v>New York Jets</v>
      </c>
      <c r="B12" t="str">
        <v>RB1</v>
      </c>
      <c r="E12">
        <v>74.3</v>
      </c>
      <c r="F12">
        <v>3</v>
      </c>
      <c r="G12">
        <v>37.4</v>
      </c>
    </row>
    <row r="13">
      <c r="A13" t="str">
        <v>New York Jets</v>
      </c>
      <c r="B13" t="str">
        <v>WR1</v>
      </c>
      <c r="F13">
        <v>6.4</v>
      </c>
      <c r="G13">
        <v>58.3</v>
      </c>
    </row>
    <row r="14">
      <c r="A14" t="str">
        <v>Baltimore Ravens</v>
      </c>
      <c r="B14" t="str">
        <v>QB1</v>
      </c>
      <c r="C14">
        <v>212</v>
      </c>
      <c r="D14">
        <v>1.2</v>
      </c>
      <c r="E14">
        <v>35</v>
      </c>
    </row>
    <row r="15">
      <c r="A15" t="str">
        <v>Baltimore Ravens</v>
      </c>
      <c r="B15" t="str">
        <v>RB1</v>
      </c>
      <c r="E15">
        <v>97.9</v>
      </c>
      <c r="F15">
        <v>3.5</v>
      </c>
      <c r="G15">
        <v>12.6</v>
      </c>
    </row>
    <row r="16">
      <c r="A16" t="str">
        <v>Baltimore Ravens</v>
      </c>
      <c r="B16" t="str">
        <v>WR1</v>
      </c>
      <c r="F16">
        <v>4.3</v>
      </c>
      <c r="G16">
        <v>73.2</v>
      </c>
    </row>
    <row r="17">
      <c r="A17" t="str">
        <v>Cincinnati Bengals</v>
      </c>
      <c r="B17" t="str">
        <v>QB1</v>
      </c>
      <c r="C17">
        <v>267.1</v>
      </c>
      <c r="D17">
        <v>1.4</v>
      </c>
      <c r="E17">
        <v>20.9</v>
      </c>
    </row>
    <row r="18">
      <c r="A18" t="str">
        <v>Cincinnati Bengals</v>
      </c>
      <c r="B18" t="str">
        <v>RB1</v>
      </c>
      <c r="E18">
        <v>76</v>
      </c>
      <c r="F18">
        <v>1.8</v>
      </c>
      <c r="G18">
        <v>36.6</v>
      </c>
    </row>
    <row r="19">
      <c r="A19" t="str">
        <v>Cincinnati Bengals</v>
      </c>
      <c r="B19" t="str">
        <v>WR1</v>
      </c>
      <c r="F19">
        <v>6.9</v>
      </c>
      <c r="G19">
        <v>96.2</v>
      </c>
    </row>
    <row r="20">
      <c r="A20" t="str">
        <v>Cleveland Browns</v>
      </c>
      <c r="B20" t="str">
        <v>QB1</v>
      </c>
      <c r="C20">
        <v>215.7</v>
      </c>
      <c r="D20">
        <v>1.4</v>
      </c>
      <c r="E20">
        <v>12.6</v>
      </c>
    </row>
    <row r="21">
      <c r="A21" t="str">
        <v>Cleveland Browns</v>
      </c>
      <c r="B21" t="str">
        <v>RB1</v>
      </c>
      <c r="E21">
        <v>74.3</v>
      </c>
      <c r="F21">
        <v>3.3</v>
      </c>
      <c r="G21">
        <v>43.5</v>
      </c>
    </row>
    <row r="22">
      <c r="A22" t="str">
        <v>Cleveland Browns</v>
      </c>
      <c r="B22" t="str">
        <v>WR1</v>
      </c>
      <c r="F22">
        <v>4.4</v>
      </c>
      <c r="G22">
        <v>57.8</v>
      </c>
    </row>
    <row r="23">
      <c r="A23" t="str">
        <v>Pittsburgh Steelers</v>
      </c>
      <c r="B23" t="str">
        <v>QB1</v>
      </c>
      <c r="C23">
        <v>266.7</v>
      </c>
      <c r="D23">
        <v>1.2</v>
      </c>
      <c r="E23">
        <v>33.2</v>
      </c>
    </row>
    <row r="24">
      <c r="A24" t="str">
        <v>Pittsburgh Steelers</v>
      </c>
      <c r="B24" t="str">
        <v>RB1</v>
      </c>
      <c r="E24">
        <v>86.9</v>
      </c>
      <c r="F24">
        <v>2.9</v>
      </c>
      <c r="G24">
        <v>14.4</v>
      </c>
    </row>
    <row r="25">
      <c r="A25" t="str">
        <v>Pittsburgh Steelers</v>
      </c>
      <c r="B25" t="str">
        <v>WR1</v>
      </c>
      <c r="F25">
        <v>6.8</v>
      </c>
      <c r="G25">
        <v>52.2</v>
      </c>
    </row>
    <row r="26">
      <c r="A26" t="str">
        <v>Houston Texans</v>
      </c>
      <c r="B26" t="str">
        <v>QB1</v>
      </c>
      <c r="C26">
        <v>272.8</v>
      </c>
      <c r="D26">
        <v>1.4</v>
      </c>
      <c r="E26">
        <v>36.9</v>
      </c>
    </row>
    <row r="27">
      <c r="A27" t="str">
        <v>Houston Texans</v>
      </c>
      <c r="B27" t="str">
        <v>RB1</v>
      </c>
      <c r="E27">
        <v>46.6</v>
      </c>
      <c r="F27">
        <v>3.4</v>
      </c>
      <c r="G27">
        <v>24.8</v>
      </c>
    </row>
    <row r="28">
      <c r="A28" t="str">
        <v>Houston Texans</v>
      </c>
      <c r="B28" t="str">
        <v>WR1</v>
      </c>
      <c r="F28">
        <v>5.7</v>
      </c>
      <c r="G28">
        <v>104.3</v>
      </c>
    </row>
    <row r="29">
      <c r="A29" t="str">
        <v>Indianapolis Colts</v>
      </c>
      <c r="B29" t="str">
        <v>QB1</v>
      </c>
      <c r="C29">
        <v>296.1</v>
      </c>
      <c r="D29">
        <v>1.1</v>
      </c>
      <c r="E29">
        <v>30.8</v>
      </c>
    </row>
    <row r="30">
      <c r="A30" t="str">
        <v>Indianapolis Colts</v>
      </c>
      <c r="B30" t="str">
        <v>RB1</v>
      </c>
      <c r="E30">
        <v>71.2</v>
      </c>
      <c r="F30">
        <v>3.1</v>
      </c>
      <c r="G30">
        <v>29.8</v>
      </c>
    </row>
    <row r="31">
      <c r="A31" t="str">
        <v>Indianapolis Colts</v>
      </c>
      <c r="B31" t="str">
        <v>WR1</v>
      </c>
      <c r="F31">
        <v>7</v>
      </c>
      <c r="G31">
        <v>70.3</v>
      </c>
    </row>
    <row r="32">
      <c r="A32" t="str">
        <v>Jacksonville Jaguars</v>
      </c>
      <c r="B32" t="str">
        <v>QB1</v>
      </c>
      <c r="C32">
        <v>211.6</v>
      </c>
      <c r="D32">
        <v>1.1</v>
      </c>
      <c r="E32">
        <v>35.7</v>
      </c>
    </row>
    <row r="33">
      <c r="A33" t="str">
        <v>Jacksonville Jaguars</v>
      </c>
      <c r="B33" t="str">
        <v>RB1</v>
      </c>
      <c r="E33">
        <v>99.7</v>
      </c>
      <c r="F33">
        <v>1.6</v>
      </c>
      <c r="G33">
        <v>21.5</v>
      </c>
    </row>
    <row r="34">
      <c r="A34" t="str">
        <v>Jacksonville Jaguars</v>
      </c>
      <c r="B34" t="str">
        <v>WR1</v>
      </c>
      <c r="F34">
        <v>8.4</v>
      </c>
      <c r="G34">
        <v>102.6</v>
      </c>
    </row>
    <row r="35">
      <c r="A35" t="str">
        <v>Tennessee Titans</v>
      </c>
      <c r="B35" t="str">
        <v>QB1</v>
      </c>
      <c r="C35">
        <v>264.5</v>
      </c>
      <c r="D35">
        <v>2.5</v>
      </c>
      <c r="E35">
        <v>32.9</v>
      </c>
    </row>
    <row r="36">
      <c r="A36" t="str">
        <v>Tennessee Titans</v>
      </c>
      <c r="B36" t="str">
        <v>RB1</v>
      </c>
      <c r="E36">
        <v>68.7</v>
      </c>
      <c r="F36">
        <v>1.8</v>
      </c>
      <c r="G36">
        <v>39.3</v>
      </c>
    </row>
    <row r="37">
      <c r="A37" t="str">
        <v>Tennessee Titans</v>
      </c>
      <c r="B37" t="str">
        <v>WR1</v>
      </c>
      <c r="F37">
        <v>8</v>
      </c>
      <c r="G37">
        <v>49.2</v>
      </c>
    </row>
    <row r="38">
      <c r="A38" t="str">
        <v>Denver Broncos</v>
      </c>
      <c r="B38" t="str">
        <v>QB1</v>
      </c>
      <c r="C38">
        <v>251.6</v>
      </c>
      <c r="D38">
        <v>1.6</v>
      </c>
      <c r="E38">
        <v>11.7</v>
      </c>
    </row>
    <row r="39">
      <c r="A39" t="str">
        <v>Denver Broncos</v>
      </c>
      <c r="B39" t="str">
        <v>RB1</v>
      </c>
      <c r="E39">
        <v>76.9</v>
      </c>
      <c r="F39">
        <v>4.2</v>
      </c>
      <c r="G39">
        <v>18.2</v>
      </c>
    </row>
    <row r="40">
      <c r="A40" t="str">
        <v>Denver Broncos</v>
      </c>
      <c r="B40" t="str">
        <v>WR1</v>
      </c>
      <c r="F40">
        <v>6.9</v>
      </c>
      <c r="G40">
        <v>61.5</v>
      </c>
    </row>
    <row r="41">
      <c r="A41" t="str">
        <v>Kansas City Chiefs</v>
      </c>
      <c r="B41" t="str">
        <v>QB1</v>
      </c>
      <c r="C41">
        <v>207.1</v>
      </c>
      <c r="D41">
        <v>1.4</v>
      </c>
      <c r="E41">
        <v>17.7</v>
      </c>
    </row>
    <row r="42">
      <c r="A42" t="str">
        <v>Kansas City Chiefs</v>
      </c>
      <c r="B42" t="str">
        <v>RB1</v>
      </c>
      <c r="E42">
        <v>92.4</v>
      </c>
      <c r="F42">
        <v>3.9</v>
      </c>
      <c r="G42">
        <v>29.6</v>
      </c>
    </row>
    <row r="43">
      <c r="A43" t="str">
        <v>Kansas City Chiefs</v>
      </c>
      <c r="B43" t="str">
        <v>WR1</v>
      </c>
      <c r="F43">
        <v>5.1</v>
      </c>
      <c r="G43">
        <v>95.4</v>
      </c>
    </row>
    <row r="44">
      <c r="A44" t="str">
        <v>Las Vegas Raiders</v>
      </c>
      <c r="B44" t="str">
        <v>QB1</v>
      </c>
      <c r="C44">
        <v>247.9</v>
      </c>
      <c r="D44">
        <v>1.6</v>
      </c>
      <c r="E44">
        <v>40.6</v>
      </c>
    </row>
    <row r="45">
      <c r="A45" t="str">
        <v>Las Vegas Raiders</v>
      </c>
      <c r="B45" t="str">
        <v>RB1</v>
      </c>
      <c r="E45">
        <v>46.7</v>
      </c>
      <c r="F45">
        <v>3.5</v>
      </c>
      <c r="G45">
        <v>26.3</v>
      </c>
    </row>
    <row r="46">
      <c r="A46" t="str">
        <v>Las Vegas Raiders</v>
      </c>
      <c r="B46" t="str">
        <v>WR1</v>
      </c>
      <c r="F46">
        <v>5.9</v>
      </c>
      <c r="G46">
        <v>90.7</v>
      </c>
    </row>
    <row r="47">
      <c r="A47" t="str">
        <v>Los Angeles Chargers</v>
      </c>
      <c r="B47" t="str">
        <v>QB1</v>
      </c>
      <c r="C47">
        <v>190.9</v>
      </c>
      <c r="D47">
        <v>1</v>
      </c>
      <c r="E47">
        <v>21.2</v>
      </c>
    </row>
    <row r="48">
      <c r="A48" t="str">
        <v>Los Angeles Chargers</v>
      </c>
      <c r="B48" t="str">
        <v>RB1</v>
      </c>
      <c r="E48">
        <v>63.3</v>
      </c>
      <c r="F48">
        <v>4.2</v>
      </c>
      <c r="G48">
        <v>15.2</v>
      </c>
    </row>
    <row r="49">
      <c r="A49" t="str">
        <v>Los Angeles Chargers</v>
      </c>
      <c r="B49" t="str">
        <v>WR1</v>
      </c>
      <c r="F49">
        <v>8.3</v>
      </c>
      <c r="G49">
        <v>74.8</v>
      </c>
    </row>
    <row r="50">
      <c r="A50" t="str">
        <v>Dallas Cowboys</v>
      </c>
      <c r="B50" t="str">
        <v>QB1</v>
      </c>
      <c r="C50">
        <v>213.3</v>
      </c>
      <c r="D50">
        <v>1.6</v>
      </c>
      <c r="E50">
        <v>42.8</v>
      </c>
    </row>
    <row r="51">
      <c r="A51" t="str">
        <v>Dallas Cowboys</v>
      </c>
      <c r="B51" t="str">
        <v>RB1</v>
      </c>
      <c r="E51">
        <v>80</v>
      </c>
      <c r="F51">
        <v>1.6</v>
      </c>
      <c r="G51">
        <v>37</v>
      </c>
    </row>
    <row r="52">
      <c r="A52" t="str">
        <v>Dallas Cowboys</v>
      </c>
      <c r="B52" t="str">
        <v>WR1</v>
      </c>
      <c r="F52">
        <v>6.6</v>
      </c>
      <c r="G52">
        <v>92.5</v>
      </c>
    </row>
    <row r="53">
      <c r="A53" t="str">
        <v>New York Giants</v>
      </c>
      <c r="B53" t="str">
        <v>QB1</v>
      </c>
      <c r="C53">
        <v>218.5</v>
      </c>
      <c r="D53">
        <v>2.4</v>
      </c>
      <c r="E53">
        <v>10.8</v>
      </c>
    </row>
    <row r="54">
      <c r="A54" t="str">
        <v>New York Giants</v>
      </c>
      <c r="B54" t="str">
        <v>RB1</v>
      </c>
      <c r="E54">
        <v>72.6</v>
      </c>
      <c r="F54">
        <v>2.3</v>
      </c>
      <c r="G54">
        <v>42.6</v>
      </c>
    </row>
    <row r="55">
      <c r="A55" t="str">
        <v>New York Giants</v>
      </c>
      <c r="B55" t="str">
        <v>WR1</v>
      </c>
      <c r="F55">
        <v>4.1</v>
      </c>
      <c r="G55">
        <v>55</v>
      </c>
    </row>
    <row r="56">
      <c r="A56" t="str">
        <v>Philadelphia Eagles</v>
      </c>
      <c r="B56" t="str">
        <v>QB1</v>
      </c>
      <c r="C56">
        <v>287.5</v>
      </c>
      <c r="D56">
        <v>1</v>
      </c>
      <c r="E56">
        <v>38.9</v>
      </c>
    </row>
    <row r="57">
      <c r="A57" t="str">
        <v>Philadelphia Eagles</v>
      </c>
      <c r="B57" t="str">
        <v>RB1</v>
      </c>
      <c r="E57">
        <v>100.4</v>
      </c>
      <c r="F57">
        <v>2.8</v>
      </c>
      <c r="G57">
        <v>25.3</v>
      </c>
    </row>
    <row r="58">
      <c r="A58" t="str">
        <v>Philadelphia Eagles</v>
      </c>
      <c r="B58" t="str">
        <v>WR1</v>
      </c>
      <c r="F58">
        <v>5.1</v>
      </c>
      <c r="G58">
        <v>81.6</v>
      </c>
    </row>
    <row r="59">
      <c r="A59" t="str">
        <v>Washington Commanders</v>
      </c>
      <c r="B59" t="str">
        <v>QB1</v>
      </c>
      <c r="C59">
        <v>241.9</v>
      </c>
      <c r="D59">
        <v>1.8</v>
      </c>
      <c r="E59">
        <v>15.5</v>
      </c>
    </row>
    <row r="60">
      <c r="A60" t="str">
        <v>Washington Commanders</v>
      </c>
      <c r="B60" t="str">
        <v>RB1</v>
      </c>
      <c r="E60">
        <v>67.5</v>
      </c>
      <c r="F60">
        <v>4.3</v>
      </c>
      <c r="G60">
        <v>44.8</v>
      </c>
    </row>
    <row r="61">
      <c r="A61" t="str">
        <v>Washington Commanders</v>
      </c>
      <c r="B61" t="str">
        <v>WR1</v>
      </c>
      <c r="F61">
        <v>4.5</v>
      </c>
      <c r="G61">
        <v>59</v>
      </c>
    </row>
    <row r="62">
      <c r="A62" t="str">
        <v>Chicago Bears</v>
      </c>
      <c r="B62" t="str">
        <v>QB1</v>
      </c>
      <c r="C62">
        <v>275.4</v>
      </c>
      <c r="D62">
        <v>2.3</v>
      </c>
      <c r="E62">
        <v>6.7</v>
      </c>
    </row>
    <row r="63">
      <c r="A63" t="str">
        <v>Chicago Bears</v>
      </c>
      <c r="B63" t="str">
        <v>RB1</v>
      </c>
      <c r="E63">
        <v>94.9</v>
      </c>
      <c r="F63">
        <v>1.9</v>
      </c>
      <c r="G63">
        <v>44.1</v>
      </c>
    </row>
    <row r="64">
      <c r="A64" t="str">
        <v>Chicago Bears</v>
      </c>
      <c r="B64" t="str">
        <v>WR1</v>
      </c>
      <c r="F64">
        <v>7.1</v>
      </c>
      <c r="G64">
        <v>84.1</v>
      </c>
    </row>
    <row r="65">
      <c r="A65" t="str">
        <v>Detroit Lions</v>
      </c>
      <c r="B65" t="str">
        <v>QB1</v>
      </c>
      <c r="C65">
        <v>284.7</v>
      </c>
      <c r="D65">
        <v>1.7</v>
      </c>
      <c r="E65">
        <v>35.4</v>
      </c>
    </row>
    <row r="66">
      <c r="A66" t="str">
        <v>Detroit Lions</v>
      </c>
      <c r="B66" t="str">
        <v>RB1</v>
      </c>
      <c r="E66">
        <v>53.2</v>
      </c>
      <c r="F66">
        <v>3.2</v>
      </c>
      <c r="G66">
        <v>24.1</v>
      </c>
    </row>
    <row r="67">
      <c r="A67" t="str">
        <v>Detroit Lions</v>
      </c>
      <c r="B67" t="str">
        <v>WR1</v>
      </c>
      <c r="F67">
        <v>6.9</v>
      </c>
      <c r="G67">
        <v>58.7</v>
      </c>
    </row>
    <row r="68">
      <c r="A68" t="str">
        <v>Green Bay Packers</v>
      </c>
      <c r="B68" t="str">
        <v>QB1</v>
      </c>
      <c r="C68">
        <v>279.2</v>
      </c>
      <c r="D68">
        <v>2.5</v>
      </c>
      <c r="E68">
        <v>7.2</v>
      </c>
    </row>
    <row r="69">
      <c r="A69" t="str">
        <v>Green Bay Packers</v>
      </c>
      <c r="B69" t="str">
        <v>RB1</v>
      </c>
      <c r="E69">
        <v>81.7</v>
      </c>
      <c r="F69">
        <v>2.3</v>
      </c>
      <c r="G69">
        <v>13.6</v>
      </c>
    </row>
    <row r="70">
      <c r="A70" t="str">
        <v>Green Bay Packers</v>
      </c>
      <c r="B70" t="str">
        <v>WR1</v>
      </c>
      <c r="F70">
        <v>3.7</v>
      </c>
      <c r="G70">
        <v>77.9</v>
      </c>
    </row>
    <row r="71">
      <c r="A71" t="str">
        <v>Minnesota Vikings</v>
      </c>
      <c r="B71" t="str">
        <v>QB1</v>
      </c>
      <c r="C71">
        <v>230.4</v>
      </c>
      <c r="D71">
        <v>1.5</v>
      </c>
      <c r="E71">
        <v>43.8</v>
      </c>
    </row>
    <row r="72">
      <c r="A72" t="str">
        <v>Minnesota Vikings</v>
      </c>
      <c r="B72" t="str">
        <v>RB1</v>
      </c>
      <c r="E72">
        <v>81.8</v>
      </c>
      <c r="F72">
        <v>2.8</v>
      </c>
      <c r="G72">
        <v>40.2</v>
      </c>
    </row>
    <row r="73">
      <c r="A73" t="str">
        <v>Minnesota Vikings</v>
      </c>
      <c r="B73" t="str">
        <v>WR1</v>
      </c>
      <c r="F73">
        <v>7.5</v>
      </c>
      <c r="G73">
        <v>100.5</v>
      </c>
    </row>
    <row r="74">
      <c r="A74" t="str">
        <v>Atlanta Falcons</v>
      </c>
      <c r="B74" t="str">
        <v>QB1</v>
      </c>
      <c r="C74">
        <v>298.7</v>
      </c>
      <c r="D74">
        <v>1.7</v>
      </c>
      <c r="E74">
        <v>29.7</v>
      </c>
    </row>
    <row r="75">
      <c r="A75" t="str">
        <v>Atlanta Falcons</v>
      </c>
      <c r="B75" t="str">
        <v>RB1</v>
      </c>
      <c r="E75">
        <v>51.6</v>
      </c>
      <c r="F75">
        <v>3.6</v>
      </c>
      <c r="G75">
        <v>30.5</v>
      </c>
    </row>
    <row r="76">
      <c r="A76" t="str">
        <v>Atlanta Falcons</v>
      </c>
      <c r="B76" t="str">
        <v>WR1</v>
      </c>
      <c r="F76">
        <v>3.6</v>
      </c>
      <c r="G76">
        <v>91.8</v>
      </c>
    </row>
    <row r="77">
      <c r="A77" t="str">
        <v>Carolina Panthers</v>
      </c>
      <c r="B77" t="str">
        <v>QB1</v>
      </c>
      <c r="C77">
        <v>221.9</v>
      </c>
      <c r="D77">
        <v>1.3</v>
      </c>
      <c r="E77">
        <v>25</v>
      </c>
    </row>
    <row r="78">
      <c r="A78" t="str">
        <v>Carolina Panthers</v>
      </c>
      <c r="B78" t="str">
        <v>RB1</v>
      </c>
      <c r="E78">
        <v>100.1</v>
      </c>
      <c r="F78">
        <v>2</v>
      </c>
      <c r="G78">
        <v>36.2</v>
      </c>
    </row>
    <row r="79">
      <c r="A79" t="str">
        <v>Carolina Panthers</v>
      </c>
      <c r="B79" t="str">
        <v>WR1</v>
      </c>
      <c r="F79">
        <v>6</v>
      </c>
      <c r="G79">
        <v>72.9</v>
      </c>
    </row>
    <row r="80">
      <c r="A80" t="str">
        <v>New Orleans Saints</v>
      </c>
      <c r="B80" t="str">
        <v>QB1</v>
      </c>
      <c r="C80">
        <v>210.2</v>
      </c>
      <c r="D80">
        <v>2.5</v>
      </c>
      <c r="E80">
        <v>35.5</v>
      </c>
    </row>
    <row r="81">
      <c r="A81" t="str">
        <v>New Orleans Saints</v>
      </c>
      <c r="B81" t="str">
        <v>RB1</v>
      </c>
      <c r="E81">
        <v>103.6</v>
      </c>
      <c r="F81">
        <v>2.1</v>
      </c>
      <c r="G81">
        <v>10.7</v>
      </c>
    </row>
    <row r="82">
      <c r="A82" t="str">
        <v>New Orleans Saints</v>
      </c>
      <c r="B82" t="str">
        <v>WR1</v>
      </c>
      <c r="F82">
        <v>3.5</v>
      </c>
      <c r="G82">
        <v>87.6</v>
      </c>
    </row>
    <row r="83">
      <c r="A83" t="str">
        <v>Tampa Bay Buccaneers</v>
      </c>
      <c r="B83" t="str">
        <v>QB1</v>
      </c>
      <c r="C83">
        <v>225.4</v>
      </c>
      <c r="D83">
        <v>1.9</v>
      </c>
      <c r="E83">
        <v>20.3</v>
      </c>
    </row>
    <row r="84">
      <c r="A84" t="str">
        <v>Tampa Bay Buccaneers</v>
      </c>
      <c r="B84" t="str">
        <v>RB1</v>
      </c>
      <c r="E84">
        <v>63.4</v>
      </c>
      <c r="F84">
        <v>2.9</v>
      </c>
      <c r="G84">
        <v>41.7</v>
      </c>
    </row>
    <row r="85">
      <c r="A85" t="str">
        <v>Tampa Bay Buccaneers</v>
      </c>
      <c r="B85" t="str">
        <v>WR1</v>
      </c>
      <c r="F85">
        <v>7.4</v>
      </c>
      <c r="G85">
        <v>79.2</v>
      </c>
    </row>
    <row r="86">
      <c r="A86" t="str">
        <v>Arizona Cardinals</v>
      </c>
      <c r="B86" t="str">
        <v>QB1</v>
      </c>
      <c r="C86">
        <v>248.9</v>
      </c>
      <c r="D86">
        <v>1.5</v>
      </c>
      <c r="E86">
        <v>15.5</v>
      </c>
    </row>
    <row r="87">
      <c r="A87" t="str">
        <v>Arizona Cardinals</v>
      </c>
      <c r="B87" t="str">
        <v>RB1</v>
      </c>
      <c r="E87">
        <v>87.8</v>
      </c>
      <c r="F87">
        <v>3.8</v>
      </c>
      <c r="G87">
        <v>19.6</v>
      </c>
    </row>
    <row r="88">
      <c r="A88" t="str">
        <v>Arizona Cardinals</v>
      </c>
      <c r="B88" t="str">
        <v>WR1</v>
      </c>
      <c r="F88">
        <v>7</v>
      </c>
      <c r="G88">
        <v>91.4</v>
      </c>
    </row>
    <row r="89">
      <c r="A89" t="str">
        <v>Los Angeles Rams</v>
      </c>
      <c r="B89" t="str">
        <v>QB1</v>
      </c>
      <c r="C89">
        <v>284</v>
      </c>
      <c r="D89">
        <v>2</v>
      </c>
      <c r="E89">
        <v>20.9</v>
      </c>
    </row>
    <row r="90">
      <c r="A90" t="str">
        <v>Los Angeles Rams</v>
      </c>
      <c r="B90" t="str">
        <v>RB1</v>
      </c>
      <c r="E90">
        <v>58.5</v>
      </c>
      <c r="F90">
        <v>4.1</v>
      </c>
      <c r="G90">
        <v>23.2</v>
      </c>
    </row>
    <row r="91">
      <c r="A91" t="str">
        <v>Los Angeles Rams</v>
      </c>
      <c r="B91" t="str">
        <v>WR1</v>
      </c>
      <c r="F91">
        <v>7.4</v>
      </c>
      <c r="G91">
        <v>65.6</v>
      </c>
    </row>
    <row r="92">
      <c r="A92" t="str">
        <v>San Francisco 49ers</v>
      </c>
      <c r="B92" t="str">
        <v>QB1</v>
      </c>
      <c r="C92">
        <v>274.2</v>
      </c>
      <c r="D92">
        <v>2</v>
      </c>
      <c r="E92">
        <v>34.6</v>
      </c>
    </row>
    <row r="93">
      <c r="A93" t="str">
        <v>San Francisco 49ers</v>
      </c>
      <c r="B93" t="str">
        <v>RB1</v>
      </c>
      <c r="E93">
        <v>61.7</v>
      </c>
      <c r="F93">
        <v>3.6</v>
      </c>
      <c r="G93">
        <v>24.2</v>
      </c>
    </row>
    <row r="94">
      <c r="A94" t="str">
        <v>San Francisco 49ers</v>
      </c>
      <c r="B94" t="str">
        <v>WR1</v>
      </c>
      <c r="F94">
        <v>8.4</v>
      </c>
      <c r="G94">
        <v>84.5</v>
      </c>
    </row>
    <row r="95">
      <c r="A95" t="str">
        <v>Seattle Seahawks</v>
      </c>
      <c r="B95" t="str">
        <v>QB1</v>
      </c>
      <c r="C95">
        <v>267.7</v>
      </c>
      <c r="D95">
        <v>1.4</v>
      </c>
      <c r="E95">
        <v>29.3</v>
      </c>
    </row>
    <row r="96">
      <c r="A96" t="str">
        <v>Seattle Seahawks</v>
      </c>
      <c r="B96" t="str">
        <v>RB1</v>
      </c>
      <c r="E96">
        <v>85.6</v>
      </c>
      <c r="F96">
        <v>2.9</v>
      </c>
      <c r="G96">
        <v>23</v>
      </c>
    </row>
    <row r="97">
      <c r="A97" t="str">
        <v>Seattle Seahawks</v>
      </c>
      <c r="B97" t="str">
        <v>WR1</v>
      </c>
      <c r="F97">
        <v>7.2</v>
      </c>
      <c r="G97">
        <v>99.1</v>
      </c>
    </row>
  </sheetData>
  <autoFilter ref="A1:G97"/>
  <ignoredErrors>
    <ignoredError numberStoredAsText="1" sqref="A1:G9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cols>
    <col min="1" max="1" width="24.83203125" customWidth="1"/>
    <col min="2" max="2" width="10.83203125" customWidth="1"/>
    <col min="3" max="3" width="10.83203125" customWidth="1"/>
    <col min="4" max="4" width="7.83203125" customWidth="1"/>
    <col min="5" max="5" width="6.83203125" customWidth="1"/>
    <col min="6" max="6" width="7.83203125" customWidth="1"/>
    <col min="7" max="7" width="8.83203125" customWidth="1"/>
    <col min="8" max="8" width="9.83203125" customWidth="1"/>
    <col min="9" max="9" width="9.83203125" customWidth="1"/>
    <col min="10" max="10" width="9.83203125" customWidth="1"/>
    <col min="11" max="11" width="7.83203125" customWidth="1"/>
  </cols>
  <sheetData>
    <row r="1">
      <c r="A1" t="str">
        <v>Team</v>
      </c>
      <c r="B1" t="str">
        <v>Conference</v>
      </c>
      <c r="C1" t="str">
        <v>Division</v>
      </c>
      <c r="D1" t="str">
        <v>Games</v>
      </c>
      <c r="E1" t="str">
        <v>Wins</v>
      </c>
      <c r="F1" t="str">
        <v>Losses</v>
      </c>
      <c r="G1" t="str">
        <v>Win %</v>
      </c>
      <c r="H1" t="str">
        <v>Off Rtg</v>
      </c>
      <c r="I1" t="str">
        <v>Def Rtg</v>
      </c>
      <c r="J1" t="str">
        <v>Net Rtg</v>
      </c>
      <c r="K1" t="str">
        <v>Pace</v>
      </c>
    </row>
    <row r="2">
      <c r="A2" t="str">
        <v>Boston Celtics</v>
      </c>
      <c r="B2" t="str">
        <v>East</v>
      </c>
      <c r="C2" t="str">
        <v>Atlantic</v>
      </c>
      <c r="D2">
        <v>82</v>
      </c>
      <c r="E2">
        <v>29</v>
      </c>
      <c r="F2">
        <f>D2-E2</f>
      </c>
      <c r="G2" s="1">
        <f>E2/D2</f>
      </c>
      <c r="H2">
        <v>112.6</v>
      </c>
      <c r="I2">
        <v>108.8</v>
      </c>
      <c r="J2">
        <f>H2-I2</f>
      </c>
      <c r="K2">
        <v>95.1</v>
      </c>
    </row>
    <row r="3">
      <c r="A3" t="str">
        <v>Brooklyn Nets</v>
      </c>
      <c r="B3" t="str">
        <v>East</v>
      </c>
      <c r="C3" t="str">
        <v>Atlantic</v>
      </c>
      <c r="D3">
        <v>82</v>
      </c>
      <c r="E3">
        <v>50</v>
      </c>
      <c r="F3">
        <f>D3-E3</f>
      </c>
      <c r="G3" s="1">
        <f>E3/D3</f>
      </c>
      <c r="H3">
        <v>117.2</v>
      </c>
      <c r="I3">
        <v>117.3</v>
      </c>
      <c r="J3">
        <f>H3-I3</f>
      </c>
      <c r="K3">
        <v>97.4</v>
      </c>
    </row>
    <row r="4">
      <c r="A4" t="str">
        <v>New York Knicks</v>
      </c>
      <c r="B4" t="str">
        <v>East</v>
      </c>
      <c r="C4" t="str">
        <v>Atlantic</v>
      </c>
      <c r="D4">
        <v>82</v>
      </c>
      <c r="E4">
        <v>60</v>
      </c>
      <c r="F4">
        <f>D4-E4</f>
      </c>
      <c r="G4" s="1">
        <f>E4/D4</f>
      </c>
      <c r="H4">
        <v>119.2</v>
      </c>
      <c r="I4">
        <v>117.1</v>
      </c>
      <c r="J4">
        <f>H4-I4</f>
      </c>
      <c r="K4">
        <v>99.8</v>
      </c>
    </row>
    <row r="5">
      <c r="A5" t="str">
        <v>Philadelphia 76ers</v>
      </c>
      <c r="B5" t="str">
        <v>East</v>
      </c>
      <c r="C5" t="str">
        <v>Atlantic</v>
      </c>
      <c r="D5">
        <v>82</v>
      </c>
      <c r="E5">
        <v>32</v>
      </c>
      <c r="F5">
        <f>D5-E5</f>
      </c>
      <c r="G5" s="1">
        <f>E5/D5</f>
      </c>
      <c r="H5">
        <v>118.5</v>
      </c>
      <c r="I5">
        <v>115</v>
      </c>
      <c r="J5">
        <f>H5-I5</f>
      </c>
      <c r="K5">
        <v>97.7</v>
      </c>
    </row>
    <row r="6">
      <c r="A6" t="str">
        <v>Toronto Raptors</v>
      </c>
      <c r="B6" t="str">
        <v>East</v>
      </c>
      <c r="C6" t="str">
        <v>Atlantic</v>
      </c>
      <c r="D6">
        <v>82</v>
      </c>
      <c r="E6">
        <v>26</v>
      </c>
      <c r="F6">
        <f>D6-E6</f>
      </c>
      <c r="G6" s="1">
        <f>E6/D6</f>
      </c>
      <c r="H6">
        <v>116.7</v>
      </c>
      <c r="I6">
        <v>113.7</v>
      </c>
      <c r="J6">
        <f>H6-I6</f>
      </c>
      <c r="K6">
        <v>95</v>
      </c>
    </row>
    <row r="7">
      <c r="A7" t="str">
        <v>Chicago Bulls</v>
      </c>
      <c r="B7" t="str">
        <v>East</v>
      </c>
      <c r="C7" t="str">
        <v>Central</v>
      </c>
      <c r="D7">
        <v>82</v>
      </c>
      <c r="E7">
        <v>40</v>
      </c>
      <c r="F7">
        <f>D7-E7</f>
      </c>
      <c r="G7" s="1">
        <f>E7/D7</f>
      </c>
      <c r="H7">
        <v>109.9</v>
      </c>
      <c r="I7">
        <v>117.2</v>
      </c>
      <c r="J7">
        <f>H7-I7</f>
      </c>
      <c r="K7">
        <v>101.9</v>
      </c>
    </row>
    <row r="8">
      <c r="A8" t="str">
        <v>Cleveland Cavaliers</v>
      </c>
      <c r="B8" t="str">
        <v>East</v>
      </c>
      <c r="C8" t="str">
        <v>Central</v>
      </c>
      <c r="D8">
        <v>82</v>
      </c>
      <c r="E8">
        <v>29</v>
      </c>
      <c r="F8">
        <f>D8-E8</f>
      </c>
      <c r="G8" s="1">
        <f>E8/D8</f>
      </c>
      <c r="H8">
        <v>109.9</v>
      </c>
      <c r="I8">
        <v>112.4</v>
      </c>
      <c r="J8">
        <f>H8-I8</f>
      </c>
      <c r="K8">
        <v>95.9</v>
      </c>
    </row>
    <row r="9">
      <c r="A9" t="str">
        <v>Detroit Pistons</v>
      </c>
      <c r="B9" t="str">
        <v>East</v>
      </c>
      <c r="C9" t="str">
        <v>Central</v>
      </c>
      <c r="D9">
        <v>82</v>
      </c>
      <c r="E9">
        <v>22</v>
      </c>
      <c r="F9">
        <f>D9-E9</f>
      </c>
      <c r="G9" s="1">
        <f>E9/D9</f>
      </c>
      <c r="H9">
        <v>119.7</v>
      </c>
      <c r="I9">
        <v>109.3</v>
      </c>
      <c r="J9">
        <f>H9-I9</f>
      </c>
      <c r="K9">
        <v>101.7</v>
      </c>
    </row>
    <row r="10">
      <c r="A10" t="str">
        <v>Indiana Pacers</v>
      </c>
      <c r="B10" t="str">
        <v>East</v>
      </c>
      <c r="C10" t="str">
        <v>Central</v>
      </c>
      <c r="D10">
        <v>82</v>
      </c>
      <c r="E10">
        <v>57</v>
      </c>
      <c r="F10">
        <f>D10-E10</f>
      </c>
      <c r="G10" s="1">
        <f>E10/D10</f>
      </c>
      <c r="H10">
        <v>115.3</v>
      </c>
      <c r="I10">
        <v>114</v>
      </c>
      <c r="J10">
        <f>H10-I10</f>
      </c>
      <c r="K10">
        <v>98.4</v>
      </c>
    </row>
    <row r="11">
      <c r="A11" t="str">
        <v>Milwaukee Bucks</v>
      </c>
      <c r="B11" t="str">
        <v>East</v>
      </c>
      <c r="C11" t="str">
        <v>Central</v>
      </c>
      <c r="D11">
        <v>82</v>
      </c>
      <c r="E11">
        <v>25</v>
      </c>
      <c r="F11">
        <f>D11-E11</f>
      </c>
      <c r="G11" s="1">
        <f>E11/D11</f>
      </c>
      <c r="H11">
        <v>118</v>
      </c>
      <c r="I11">
        <v>117.7</v>
      </c>
      <c r="J11">
        <f>H11-I11</f>
      </c>
      <c r="K11">
        <v>103</v>
      </c>
    </row>
    <row r="12">
      <c r="A12" t="str">
        <v>Atlanta Hawks</v>
      </c>
      <c r="B12" t="str">
        <v>East</v>
      </c>
      <c r="C12" t="str">
        <v>Southeast</v>
      </c>
      <c r="D12">
        <v>82</v>
      </c>
      <c r="E12">
        <v>19</v>
      </c>
      <c r="F12">
        <f>D12-E12</f>
      </c>
      <c r="G12" s="1">
        <f>E12/D12</f>
      </c>
      <c r="H12">
        <v>120.1</v>
      </c>
      <c r="I12">
        <v>109.9</v>
      </c>
      <c r="J12">
        <f>H12-I12</f>
      </c>
      <c r="K12">
        <v>98.1</v>
      </c>
    </row>
    <row r="13">
      <c r="A13" t="str">
        <v>Charlotte Hornets</v>
      </c>
      <c r="B13" t="str">
        <v>East</v>
      </c>
      <c r="C13" t="str">
        <v>Southeast</v>
      </c>
      <c r="D13">
        <v>82</v>
      </c>
      <c r="E13">
        <v>46</v>
      </c>
      <c r="F13">
        <f>D13-E13</f>
      </c>
      <c r="G13" s="1">
        <f>E13/D13</f>
      </c>
      <c r="H13">
        <v>115.8</v>
      </c>
      <c r="I13">
        <v>112</v>
      </c>
      <c r="J13">
        <f>H13-I13</f>
      </c>
      <c r="K13">
        <v>97.4</v>
      </c>
    </row>
    <row r="14">
      <c r="A14" t="str">
        <v>Miami Heat</v>
      </c>
      <c r="B14" t="str">
        <v>East</v>
      </c>
      <c r="C14" t="str">
        <v>Southeast</v>
      </c>
      <c r="D14">
        <v>82</v>
      </c>
      <c r="E14">
        <v>34</v>
      </c>
      <c r="F14">
        <f>D14-E14</f>
      </c>
      <c r="G14" s="1">
        <f>E14/D14</f>
      </c>
      <c r="H14">
        <v>117</v>
      </c>
      <c r="I14">
        <v>108.8</v>
      </c>
      <c r="J14">
        <f>H14-I14</f>
      </c>
      <c r="K14">
        <v>101.5</v>
      </c>
    </row>
    <row r="15">
      <c r="A15" t="str">
        <v>Orlando Magic</v>
      </c>
      <c r="B15" t="str">
        <v>East</v>
      </c>
      <c r="C15" t="str">
        <v>Southeast</v>
      </c>
      <c r="D15">
        <v>82</v>
      </c>
      <c r="E15">
        <v>53</v>
      </c>
      <c r="F15">
        <f>D15-E15</f>
      </c>
      <c r="G15" s="1">
        <f>E15/D15</f>
      </c>
      <c r="H15">
        <v>115.9</v>
      </c>
      <c r="I15">
        <v>109.9</v>
      </c>
      <c r="J15">
        <f>H15-I15</f>
      </c>
      <c r="K15">
        <v>100.9</v>
      </c>
    </row>
    <row r="16">
      <c r="A16" t="str">
        <v>Washington Wizards</v>
      </c>
      <c r="B16" t="str">
        <v>East</v>
      </c>
      <c r="C16" t="str">
        <v>Southeast</v>
      </c>
      <c r="D16">
        <v>82</v>
      </c>
      <c r="E16">
        <v>46</v>
      </c>
      <c r="F16">
        <f>D16-E16</f>
      </c>
      <c r="G16" s="1">
        <f>E16/D16</f>
      </c>
      <c r="H16">
        <v>114.1</v>
      </c>
      <c r="I16">
        <v>113.7</v>
      </c>
      <c r="J16">
        <f>H16-I16</f>
      </c>
      <c r="K16">
        <v>95.1</v>
      </c>
    </row>
    <row r="17">
      <c r="A17" t="str">
        <v>Denver Nuggets</v>
      </c>
      <c r="B17" t="str">
        <v>West</v>
      </c>
      <c r="C17" t="str">
        <v>Northwest</v>
      </c>
      <c r="D17">
        <v>82</v>
      </c>
      <c r="E17">
        <v>60</v>
      </c>
      <c r="F17">
        <f>D17-E17</f>
      </c>
      <c r="G17" s="1">
        <f>E17/D17</f>
      </c>
      <c r="H17">
        <v>108.6</v>
      </c>
      <c r="I17">
        <v>115.3</v>
      </c>
      <c r="J17">
        <f>H17-I17</f>
      </c>
      <c r="K17">
        <v>95.7</v>
      </c>
    </row>
    <row r="18">
      <c r="A18" t="str">
        <v>Minnesota Timberwolves</v>
      </c>
      <c r="B18" t="str">
        <v>West</v>
      </c>
      <c r="C18" t="str">
        <v>Northwest</v>
      </c>
      <c r="D18">
        <v>82</v>
      </c>
      <c r="E18">
        <v>35</v>
      </c>
      <c r="F18">
        <f>D18-E18</f>
      </c>
      <c r="G18" s="1">
        <f>E18/D18</f>
      </c>
      <c r="H18">
        <v>109.5</v>
      </c>
      <c r="I18">
        <v>117.3</v>
      </c>
      <c r="J18">
        <f>H18-I18</f>
      </c>
      <c r="K18">
        <v>96.9</v>
      </c>
    </row>
    <row r="19">
      <c r="A19" t="str">
        <v>Oklahoma City Thunder</v>
      </c>
      <c r="B19" t="str">
        <v>West</v>
      </c>
      <c r="C19" t="str">
        <v>Northwest</v>
      </c>
      <c r="D19">
        <v>82</v>
      </c>
      <c r="E19">
        <v>24</v>
      </c>
      <c r="F19">
        <f>D19-E19</f>
      </c>
      <c r="G19" s="1">
        <f>E19/D19</f>
      </c>
      <c r="H19">
        <v>122</v>
      </c>
      <c r="I19">
        <v>115.7</v>
      </c>
      <c r="J19">
        <f>H19-I19</f>
      </c>
      <c r="K19">
        <v>100.4</v>
      </c>
    </row>
    <row r="20">
      <c r="A20" t="str">
        <v>Portland Trail Blazers</v>
      </c>
      <c r="B20" t="str">
        <v>West</v>
      </c>
      <c r="C20" t="str">
        <v>Northwest</v>
      </c>
      <c r="D20">
        <v>82</v>
      </c>
      <c r="E20">
        <v>23</v>
      </c>
      <c r="F20">
        <f>D20-E20</f>
      </c>
      <c r="G20" s="1">
        <f>E20/D20</f>
      </c>
      <c r="H20">
        <v>108.8</v>
      </c>
      <c r="I20">
        <v>109.2</v>
      </c>
      <c r="J20">
        <f>H20-I20</f>
      </c>
      <c r="K20">
        <v>97</v>
      </c>
    </row>
    <row r="21">
      <c r="A21" t="str">
        <v>Utah Jazz</v>
      </c>
      <c r="B21" t="str">
        <v>West</v>
      </c>
      <c r="C21" t="str">
        <v>Northwest</v>
      </c>
      <c r="D21">
        <v>82</v>
      </c>
      <c r="E21">
        <v>20</v>
      </c>
      <c r="F21">
        <f>D21-E21</f>
      </c>
      <c r="G21" s="1">
        <f>E21/D21</f>
      </c>
      <c r="H21">
        <v>117</v>
      </c>
      <c r="I21">
        <v>107</v>
      </c>
      <c r="J21">
        <f>H21-I21</f>
      </c>
      <c r="K21">
        <v>101.9</v>
      </c>
    </row>
    <row r="22">
      <c r="A22" t="str">
        <v>Golden State Warriors</v>
      </c>
      <c r="B22" t="str">
        <v>West</v>
      </c>
      <c r="C22" t="str">
        <v>Pacific</v>
      </c>
      <c r="D22">
        <v>82</v>
      </c>
      <c r="E22">
        <v>20</v>
      </c>
      <c r="F22">
        <f>D22-E22</f>
      </c>
      <c r="G22" s="1">
        <f>E22/D22</f>
      </c>
      <c r="H22">
        <v>118.5</v>
      </c>
      <c r="I22">
        <v>106.7</v>
      </c>
      <c r="J22">
        <f>H22-I22</f>
      </c>
      <c r="K22">
        <v>101.3</v>
      </c>
    </row>
    <row r="23">
      <c r="A23" t="str">
        <v>LA Clippers</v>
      </c>
      <c r="B23" t="str">
        <v>West</v>
      </c>
      <c r="C23" t="str">
        <v>Pacific</v>
      </c>
      <c r="D23">
        <v>82</v>
      </c>
      <c r="E23">
        <v>53</v>
      </c>
      <c r="F23">
        <f>D23-E23</f>
      </c>
      <c r="G23" s="1">
        <f>E23/D23</f>
      </c>
      <c r="H23">
        <v>112.7</v>
      </c>
      <c r="I23">
        <v>111</v>
      </c>
      <c r="J23">
        <f>H23-I23</f>
      </c>
      <c r="K23">
        <v>100</v>
      </c>
    </row>
    <row r="24">
      <c r="A24" t="str">
        <v>Los Angeles Lakers</v>
      </c>
      <c r="B24" t="str">
        <v>West</v>
      </c>
      <c r="C24" t="str">
        <v>Pacific</v>
      </c>
      <c r="D24">
        <v>82</v>
      </c>
      <c r="E24">
        <v>24</v>
      </c>
      <c r="F24">
        <f>D24-E24</f>
      </c>
      <c r="G24" s="1">
        <f>E24/D24</f>
      </c>
      <c r="H24">
        <v>109.8</v>
      </c>
      <c r="I24">
        <v>117.8</v>
      </c>
      <c r="J24">
        <f>H24-I24</f>
      </c>
      <c r="K24">
        <v>95.9</v>
      </c>
    </row>
    <row r="25">
      <c r="A25" t="str">
        <v>Phoenix Suns</v>
      </c>
      <c r="B25" t="str">
        <v>West</v>
      </c>
      <c r="C25" t="str">
        <v>Pacific</v>
      </c>
      <c r="D25">
        <v>82</v>
      </c>
      <c r="E25">
        <v>32</v>
      </c>
      <c r="F25">
        <f>D25-E25</f>
      </c>
      <c r="G25" s="1">
        <f>E25/D25</f>
      </c>
      <c r="H25">
        <v>114.9</v>
      </c>
      <c r="I25">
        <v>109</v>
      </c>
      <c r="J25">
        <f>H25-I25</f>
      </c>
      <c r="K25">
        <v>99.6</v>
      </c>
    </row>
    <row r="26">
      <c r="A26" t="str">
        <v>Sacramento Kings</v>
      </c>
      <c r="B26" t="str">
        <v>West</v>
      </c>
      <c r="C26" t="str">
        <v>Pacific</v>
      </c>
      <c r="D26">
        <v>82</v>
      </c>
      <c r="E26">
        <v>57</v>
      </c>
      <c r="F26">
        <f>D26-E26</f>
      </c>
      <c r="G26" s="1">
        <f>E26/D26</f>
      </c>
      <c r="H26">
        <v>118.1</v>
      </c>
      <c r="I26">
        <v>111.8</v>
      </c>
      <c r="J26">
        <f>H26-I26</f>
      </c>
      <c r="K26">
        <v>98.7</v>
      </c>
    </row>
    <row r="27">
      <c r="A27" t="str">
        <v>Dallas Mavericks</v>
      </c>
      <c r="B27" t="str">
        <v>West</v>
      </c>
      <c r="C27" t="str">
        <v>Southwest</v>
      </c>
      <c r="D27">
        <v>82</v>
      </c>
      <c r="E27">
        <v>35</v>
      </c>
      <c r="F27">
        <f>D27-E27</f>
      </c>
      <c r="G27" s="1">
        <f>E27/D27</f>
      </c>
      <c r="H27">
        <v>118.1</v>
      </c>
      <c r="I27">
        <v>115.3</v>
      </c>
      <c r="J27">
        <f>H27-I27</f>
      </c>
      <c r="K27">
        <v>101.2</v>
      </c>
    </row>
    <row r="28">
      <c r="A28" t="str">
        <v>Houston Rockets</v>
      </c>
      <c r="B28" t="str">
        <v>West</v>
      </c>
      <c r="C28" t="str">
        <v>Southwest</v>
      </c>
      <c r="D28">
        <v>82</v>
      </c>
      <c r="E28">
        <v>28</v>
      </c>
      <c r="F28">
        <f>D28-E28</f>
      </c>
      <c r="G28" s="1">
        <f>E28/D28</f>
      </c>
      <c r="H28">
        <v>109.4</v>
      </c>
      <c r="I28">
        <v>111.4</v>
      </c>
      <c r="J28">
        <f>H28-I28</f>
      </c>
      <c r="K28">
        <v>100.4</v>
      </c>
    </row>
    <row r="29">
      <c r="A29" t="str">
        <v>Memphis Grizzlies</v>
      </c>
      <c r="B29" t="str">
        <v>West</v>
      </c>
      <c r="C29" t="str">
        <v>Southwest</v>
      </c>
      <c r="D29">
        <v>82</v>
      </c>
      <c r="E29">
        <v>39</v>
      </c>
      <c r="F29">
        <f>D29-E29</f>
      </c>
      <c r="G29" s="1">
        <f>E29/D29</f>
      </c>
      <c r="H29">
        <v>109.2</v>
      </c>
      <c r="I29">
        <v>115.1</v>
      </c>
      <c r="J29">
        <f>H29-I29</f>
      </c>
      <c r="K29">
        <v>99.8</v>
      </c>
    </row>
    <row r="30">
      <c r="A30" t="str">
        <v>New Orleans Pelicans</v>
      </c>
      <c r="B30" t="str">
        <v>West</v>
      </c>
      <c r="C30" t="str">
        <v>Southwest</v>
      </c>
      <c r="D30">
        <v>82</v>
      </c>
      <c r="E30">
        <v>52</v>
      </c>
      <c r="F30">
        <f>D30-E30</f>
      </c>
      <c r="G30" s="1">
        <f>E30/D30</f>
      </c>
      <c r="H30">
        <v>118.8</v>
      </c>
      <c r="I30">
        <v>110.3</v>
      </c>
      <c r="J30">
        <f>H30-I30</f>
      </c>
      <c r="K30">
        <v>100.5</v>
      </c>
    </row>
    <row r="31">
      <c r="A31" t="str">
        <v>San Antonio Spurs</v>
      </c>
      <c r="B31" t="str">
        <v>West</v>
      </c>
      <c r="C31" t="str">
        <v>Southwest</v>
      </c>
      <c r="D31">
        <v>82</v>
      </c>
      <c r="E31">
        <v>61</v>
      </c>
      <c r="F31">
        <f>D31-E31</f>
      </c>
      <c r="G31" s="1">
        <f>E31/D31</f>
      </c>
      <c r="H31">
        <v>111.4</v>
      </c>
      <c r="I31">
        <v>117.1</v>
      </c>
      <c r="J31">
        <f>H31-I31</f>
      </c>
      <c r="K31">
        <v>95.1</v>
      </c>
    </row>
  </sheetData>
  <autoFilter ref="A1:K31"/>
  <ignoredErrors>
    <ignoredError numberStoredAsText="1" sqref="A1:K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91"/>
  <sheetViews>
    <sheetView workbookViewId="0"/>
  </sheetViews>
  <cols>
    <col min="1" max="1" width="24.83203125" customWidth="1"/>
    <col min="2" max="2" width="7.83203125" customWidth="1"/>
    <col min="3" max="3" width="7.83203125" customWidth="1"/>
    <col min="4" max="4" width="7.83203125" customWidth="1"/>
    <col min="5" max="5" width="7.83203125" customWidth="1"/>
    <col min="6" max="6" width="7.83203125" customWidth="1"/>
  </cols>
  <sheetData>
    <row r="1">
      <c r="A1" t="str">
        <v>Team</v>
      </c>
      <c r="B1" t="str">
        <v>Slot</v>
      </c>
      <c r="C1" t="str">
        <v>PPG</v>
      </c>
      <c r="D1" t="str">
        <v>RPG</v>
      </c>
      <c r="E1" t="str">
        <v>APG</v>
      </c>
      <c r="F1" t="str">
        <v>3P %</v>
      </c>
    </row>
    <row r="2">
      <c r="A2" t="str">
        <v>Boston Celtics</v>
      </c>
      <c r="B2" t="str">
        <v>PG1</v>
      </c>
      <c r="C2">
        <v>18.5</v>
      </c>
      <c r="D2">
        <v>3.9</v>
      </c>
      <c r="E2">
        <v>10</v>
      </c>
      <c r="F2" s="1">
        <v>0.397</v>
      </c>
    </row>
    <row r="3">
      <c r="A3" t="str">
        <v>Boston Celtics</v>
      </c>
      <c r="B3" t="str">
        <v>Wing1</v>
      </c>
      <c r="C3">
        <v>21.6</v>
      </c>
      <c r="D3">
        <v>5.5</v>
      </c>
      <c r="E3">
        <v>4.7</v>
      </c>
      <c r="F3" s="1">
        <v>0.399</v>
      </c>
    </row>
    <row r="4">
      <c r="A4" t="str">
        <v>Boston Celtics</v>
      </c>
      <c r="B4" t="str">
        <v>Big1</v>
      </c>
      <c r="C4">
        <v>16.6</v>
      </c>
      <c r="D4">
        <v>7.6</v>
      </c>
      <c r="E4">
        <v>2.8</v>
      </c>
      <c r="F4" s="1">
        <v>0.103</v>
      </c>
    </row>
    <row r="5">
      <c r="A5" t="str">
        <v>Brooklyn Nets</v>
      </c>
      <c r="B5" t="str">
        <v>PG1</v>
      </c>
      <c r="C5">
        <v>25</v>
      </c>
      <c r="D5">
        <v>5.8</v>
      </c>
      <c r="E5">
        <v>6.2</v>
      </c>
      <c r="F5" s="1">
        <v>0.378</v>
      </c>
    </row>
    <row r="6">
      <c r="A6" t="str">
        <v>Brooklyn Nets</v>
      </c>
      <c r="B6" t="str">
        <v>Wing1</v>
      </c>
      <c r="C6">
        <v>20.3</v>
      </c>
      <c r="D6">
        <v>5.9</v>
      </c>
      <c r="E6">
        <v>3.8</v>
      </c>
      <c r="F6" s="1">
        <v>0.356</v>
      </c>
    </row>
    <row r="7">
      <c r="A7" t="str">
        <v>Brooklyn Nets</v>
      </c>
      <c r="B7" t="str">
        <v>Big1</v>
      </c>
      <c r="C7">
        <v>24.1</v>
      </c>
      <c r="D7">
        <v>8.6</v>
      </c>
      <c r="E7">
        <v>3.7</v>
      </c>
      <c r="F7" s="1">
        <v>0.081</v>
      </c>
    </row>
    <row r="8">
      <c r="A8" t="str">
        <v>New York Knicks</v>
      </c>
      <c r="B8" t="str">
        <v>PG1</v>
      </c>
      <c r="C8">
        <v>25.5</v>
      </c>
      <c r="D8">
        <v>3.5</v>
      </c>
      <c r="E8">
        <v>9.1</v>
      </c>
      <c r="F8" s="1">
        <v>0.324</v>
      </c>
    </row>
    <row r="9">
      <c r="A9" t="str">
        <v>New York Knicks</v>
      </c>
      <c r="B9" t="str">
        <v>Wing1</v>
      </c>
      <c r="C9">
        <v>22.3</v>
      </c>
      <c r="D9">
        <v>4.2</v>
      </c>
      <c r="E9">
        <v>4.4</v>
      </c>
      <c r="F9" s="1">
        <v>0.41</v>
      </c>
    </row>
    <row r="10">
      <c r="A10" t="str">
        <v>New York Knicks</v>
      </c>
      <c r="B10" t="str">
        <v>Big1</v>
      </c>
      <c r="C10">
        <v>12.1</v>
      </c>
      <c r="D10">
        <v>11.5</v>
      </c>
      <c r="E10">
        <v>2.5</v>
      </c>
      <c r="F10" s="1">
        <v>0.354</v>
      </c>
    </row>
    <row r="11">
      <c r="A11" t="str">
        <v>Philadelphia 76ers</v>
      </c>
      <c r="B11" t="str">
        <v>PG1</v>
      </c>
      <c r="C11">
        <v>23.4</v>
      </c>
      <c r="D11">
        <v>2.5</v>
      </c>
      <c r="E11">
        <v>7.4</v>
      </c>
      <c r="F11" s="1">
        <v>0.418</v>
      </c>
    </row>
    <row r="12">
      <c r="A12" t="str">
        <v>Philadelphia 76ers</v>
      </c>
      <c r="B12" t="str">
        <v>Wing1</v>
      </c>
      <c r="C12">
        <v>18.5</v>
      </c>
      <c r="D12">
        <v>4.5</v>
      </c>
      <c r="E12">
        <v>3.5</v>
      </c>
      <c r="F12" s="1">
        <v>0.361</v>
      </c>
    </row>
    <row r="13">
      <c r="A13" t="str">
        <v>Philadelphia 76ers</v>
      </c>
      <c r="B13" t="str">
        <v>Big1</v>
      </c>
      <c r="C13">
        <v>25.1</v>
      </c>
      <c r="D13">
        <v>10.8</v>
      </c>
      <c r="E13">
        <v>4</v>
      </c>
      <c r="F13" s="1">
        <v>0.093</v>
      </c>
    </row>
    <row r="14">
      <c r="A14" t="str">
        <v>Toronto Raptors</v>
      </c>
      <c r="B14" t="str">
        <v>PG1</v>
      </c>
      <c r="C14">
        <v>20.2</v>
      </c>
      <c r="D14">
        <v>4.8</v>
      </c>
      <c r="E14">
        <v>8.8</v>
      </c>
      <c r="F14" s="1">
        <v>0.419</v>
      </c>
    </row>
    <row r="15">
      <c r="A15" t="str">
        <v>Toronto Raptors</v>
      </c>
      <c r="B15" t="str">
        <v>Wing1</v>
      </c>
      <c r="C15">
        <v>20.9</v>
      </c>
      <c r="D15">
        <v>4.4</v>
      </c>
      <c r="E15">
        <v>5.1</v>
      </c>
      <c r="F15" s="1">
        <v>0.4</v>
      </c>
    </row>
    <row r="16">
      <c r="A16" t="str">
        <v>Toronto Raptors</v>
      </c>
      <c r="B16" t="str">
        <v>Big1</v>
      </c>
      <c r="C16">
        <v>14.9</v>
      </c>
      <c r="D16">
        <v>9</v>
      </c>
      <c r="E16">
        <v>3.7</v>
      </c>
      <c r="F16" s="1">
        <v>0.24</v>
      </c>
    </row>
    <row r="17">
      <c r="A17" t="str">
        <v>Chicago Bulls</v>
      </c>
      <c r="B17" t="str">
        <v>PG1</v>
      </c>
      <c r="C17">
        <v>17.8</v>
      </c>
      <c r="D17">
        <v>4.9</v>
      </c>
      <c r="E17">
        <v>9.4</v>
      </c>
      <c r="F17" s="1">
        <v>0.386</v>
      </c>
    </row>
    <row r="18">
      <c r="A18" t="str">
        <v>Chicago Bulls</v>
      </c>
      <c r="B18" t="str">
        <v>Wing1</v>
      </c>
      <c r="C18">
        <v>22.1</v>
      </c>
      <c r="D18">
        <v>4.3</v>
      </c>
      <c r="E18">
        <v>5.9</v>
      </c>
      <c r="F18" s="1">
        <v>0.374</v>
      </c>
    </row>
    <row r="19">
      <c r="A19" t="str">
        <v>Chicago Bulls</v>
      </c>
      <c r="B19" t="str">
        <v>Big1</v>
      </c>
      <c r="C19">
        <v>12.2</v>
      </c>
      <c r="D19">
        <v>12.1</v>
      </c>
      <c r="E19">
        <v>2.1</v>
      </c>
      <c r="F19" s="1">
        <v>0.332</v>
      </c>
    </row>
    <row r="20">
      <c r="A20" t="str">
        <v>Cleveland Cavaliers</v>
      </c>
      <c r="B20" t="str">
        <v>PG1</v>
      </c>
      <c r="C20">
        <v>20.8</v>
      </c>
      <c r="D20">
        <v>5.3</v>
      </c>
      <c r="E20">
        <v>9.2</v>
      </c>
      <c r="F20" s="1">
        <v>0.34</v>
      </c>
    </row>
    <row r="21">
      <c r="A21" t="str">
        <v>Cleveland Cavaliers</v>
      </c>
      <c r="B21" t="str">
        <v>Wing1</v>
      </c>
      <c r="C21">
        <v>16.2</v>
      </c>
      <c r="D21">
        <v>6.9</v>
      </c>
      <c r="E21">
        <v>2.8</v>
      </c>
      <c r="F21" s="1">
        <v>0.363</v>
      </c>
    </row>
    <row r="22">
      <c r="A22" t="str">
        <v>Cleveland Cavaliers</v>
      </c>
      <c r="B22" t="str">
        <v>Big1</v>
      </c>
      <c r="C22">
        <v>12.2</v>
      </c>
      <c r="D22">
        <v>7.7</v>
      </c>
      <c r="E22">
        <v>3.3</v>
      </c>
      <c r="F22" s="1">
        <v>0.155</v>
      </c>
    </row>
    <row r="23">
      <c r="A23" t="str">
        <v>Detroit Pistons</v>
      </c>
      <c r="B23" t="str">
        <v>PG1</v>
      </c>
      <c r="C23">
        <v>18.9</v>
      </c>
      <c r="D23">
        <v>5</v>
      </c>
      <c r="E23">
        <v>9.1</v>
      </c>
      <c r="F23" s="1">
        <v>0.418</v>
      </c>
    </row>
    <row r="24">
      <c r="A24" t="str">
        <v>Detroit Pistons</v>
      </c>
      <c r="B24" t="str">
        <v>Wing1</v>
      </c>
      <c r="C24">
        <v>21.5</v>
      </c>
      <c r="D24">
        <v>6.8</v>
      </c>
      <c r="E24">
        <v>4.7</v>
      </c>
      <c r="F24" s="1">
        <v>0.381</v>
      </c>
    </row>
    <row r="25">
      <c r="A25" t="str">
        <v>Detroit Pistons</v>
      </c>
      <c r="B25" t="str">
        <v>Big1</v>
      </c>
      <c r="C25">
        <v>15.6</v>
      </c>
      <c r="D25">
        <v>7.4</v>
      </c>
      <c r="E25">
        <v>3.3</v>
      </c>
      <c r="F25" s="1">
        <v>0.305</v>
      </c>
    </row>
    <row r="26">
      <c r="A26" t="str">
        <v>Indiana Pacers</v>
      </c>
      <c r="B26" t="str">
        <v>PG1</v>
      </c>
      <c r="C26">
        <v>20.5</v>
      </c>
      <c r="D26">
        <v>3.1</v>
      </c>
      <c r="E26">
        <v>6.4</v>
      </c>
      <c r="F26" s="1">
        <v>0.32</v>
      </c>
    </row>
    <row r="27">
      <c r="A27" t="str">
        <v>Indiana Pacers</v>
      </c>
      <c r="B27" t="str">
        <v>Wing1</v>
      </c>
      <c r="C27">
        <v>19.3</v>
      </c>
      <c r="D27">
        <v>5.7</v>
      </c>
      <c r="E27">
        <v>3.4</v>
      </c>
      <c r="F27" s="1">
        <v>0.366</v>
      </c>
    </row>
    <row r="28">
      <c r="A28" t="str">
        <v>Indiana Pacers</v>
      </c>
      <c r="B28" t="str">
        <v>Big1</v>
      </c>
      <c r="C28">
        <v>21.2</v>
      </c>
      <c r="D28">
        <v>11.1</v>
      </c>
      <c r="E28">
        <v>4.2</v>
      </c>
      <c r="F28" s="1">
        <v>0.116</v>
      </c>
    </row>
    <row r="29">
      <c r="A29" t="str">
        <v>Milwaukee Bucks</v>
      </c>
      <c r="B29" t="str">
        <v>PG1</v>
      </c>
      <c r="C29">
        <v>15.4</v>
      </c>
      <c r="D29">
        <v>2.9</v>
      </c>
      <c r="E29">
        <v>9.6</v>
      </c>
      <c r="F29" s="1">
        <v>0.352</v>
      </c>
    </row>
    <row r="30">
      <c r="A30" t="str">
        <v>Milwaukee Bucks</v>
      </c>
      <c r="B30" t="str">
        <v>Wing1</v>
      </c>
      <c r="C30">
        <v>16.9</v>
      </c>
      <c r="D30">
        <v>6.8</v>
      </c>
      <c r="E30">
        <v>4.4</v>
      </c>
      <c r="F30" s="1">
        <v>0.399</v>
      </c>
    </row>
    <row r="31">
      <c r="A31" t="str">
        <v>Milwaukee Bucks</v>
      </c>
      <c r="B31" t="str">
        <v>Big1</v>
      </c>
      <c r="C31">
        <v>17.5</v>
      </c>
      <c r="D31">
        <v>7.5</v>
      </c>
      <c r="E31">
        <v>3</v>
      </c>
      <c r="F31" s="1">
        <v>0.122</v>
      </c>
    </row>
    <row r="32">
      <c r="A32" t="str">
        <v>Atlanta Hawks</v>
      </c>
      <c r="B32" t="str">
        <v>PG1</v>
      </c>
      <c r="C32">
        <v>25.4</v>
      </c>
      <c r="D32">
        <v>3.5</v>
      </c>
      <c r="E32">
        <v>9.7</v>
      </c>
      <c r="F32" s="1">
        <v>0.419</v>
      </c>
    </row>
    <row r="33">
      <c r="A33" t="str">
        <v>Atlanta Hawks</v>
      </c>
      <c r="B33" t="str">
        <v>Wing1</v>
      </c>
      <c r="C33">
        <v>25.3</v>
      </c>
      <c r="D33">
        <v>4.3</v>
      </c>
      <c r="E33">
        <v>5.1</v>
      </c>
      <c r="F33" s="1">
        <v>0.346</v>
      </c>
    </row>
    <row r="34">
      <c r="A34" t="str">
        <v>Atlanta Hawks</v>
      </c>
      <c r="B34" t="str">
        <v>Big1</v>
      </c>
      <c r="C34">
        <v>21.2</v>
      </c>
      <c r="D34">
        <v>7.2</v>
      </c>
      <c r="E34">
        <v>4.1</v>
      </c>
      <c r="F34" s="1">
        <v>0.151</v>
      </c>
    </row>
    <row r="35">
      <c r="A35" t="str">
        <v>Charlotte Hornets</v>
      </c>
      <c r="B35" t="str">
        <v>PG1</v>
      </c>
      <c r="C35">
        <v>17.4</v>
      </c>
      <c r="D35">
        <v>5.9</v>
      </c>
      <c r="E35">
        <v>9.5</v>
      </c>
      <c r="F35" s="1">
        <v>0.395</v>
      </c>
    </row>
    <row r="36">
      <c r="A36" t="str">
        <v>Charlotte Hornets</v>
      </c>
      <c r="B36" t="str">
        <v>Wing1</v>
      </c>
      <c r="C36">
        <v>17.1</v>
      </c>
      <c r="D36">
        <v>6.2</v>
      </c>
      <c r="E36">
        <v>2.6</v>
      </c>
      <c r="F36" s="1">
        <v>0.396</v>
      </c>
    </row>
    <row r="37">
      <c r="A37" t="str">
        <v>Charlotte Hornets</v>
      </c>
      <c r="B37" t="str">
        <v>Big1</v>
      </c>
      <c r="C37">
        <v>25.5</v>
      </c>
      <c r="D37">
        <v>10.9</v>
      </c>
      <c r="E37">
        <v>2.5</v>
      </c>
      <c r="F37" s="1">
        <v>0.259</v>
      </c>
    </row>
    <row r="38">
      <c r="A38" t="str">
        <v>Miami Heat</v>
      </c>
      <c r="B38" t="str">
        <v>PG1</v>
      </c>
      <c r="C38">
        <v>22.1</v>
      </c>
      <c r="D38">
        <v>4.8</v>
      </c>
      <c r="E38">
        <v>6.1</v>
      </c>
      <c r="F38" s="1">
        <v>0.373</v>
      </c>
    </row>
    <row r="39">
      <c r="A39" t="str">
        <v>Miami Heat</v>
      </c>
      <c r="B39" t="str">
        <v>Wing1</v>
      </c>
      <c r="C39">
        <v>18</v>
      </c>
      <c r="D39">
        <v>5.7</v>
      </c>
      <c r="E39">
        <v>3.1</v>
      </c>
      <c r="F39" s="1">
        <v>0.399</v>
      </c>
    </row>
    <row r="40">
      <c r="A40" t="str">
        <v>Miami Heat</v>
      </c>
      <c r="B40" t="str">
        <v>Big1</v>
      </c>
      <c r="C40">
        <v>21.2</v>
      </c>
      <c r="D40">
        <v>10.8</v>
      </c>
      <c r="E40">
        <v>3.3</v>
      </c>
      <c r="F40" s="1">
        <v>0.332</v>
      </c>
    </row>
    <row r="41">
      <c r="A41" t="str">
        <v>Orlando Magic</v>
      </c>
      <c r="B41" t="str">
        <v>PG1</v>
      </c>
      <c r="C41">
        <v>14.3</v>
      </c>
      <c r="D41">
        <v>3.2</v>
      </c>
      <c r="E41">
        <v>7.5</v>
      </c>
      <c r="F41" s="1">
        <v>0.391</v>
      </c>
    </row>
    <row r="42">
      <c r="A42" t="str">
        <v>Orlando Magic</v>
      </c>
      <c r="B42" t="str">
        <v>Wing1</v>
      </c>
      <c r="C42">
        <v>20.7</v>
      </c>
      <c r="D42">
        <v>6.9</v>
      </c>
      <c r="E42">
        <v>5.7</v>
      </c>
      <c r="F42" s="1">
        <v>0.379</v>
      </c>
    </row>
    <row r="43">
      <c r="A43" t="str">
        <v>Orlando Magic</v>
      </c>
      <c r="B43" t="str">
        <v>Big1</v>
      </c>
      <c r="C43">
        <v>23.7</v>
      </c>
      <c r="D43">
        <v>9.3</v>
      </c>
      <c r="E43">
        <v>2.3</v>
      </c>
      <c r="F43" s="1">
        <v>0.313</v>
      </c>
    </row>
    <row r="44">
      <c r="A44" t="str">
        <v>Washington Wizards</v>
      </c>
      <c r="B44" t="str">
        <v>PG1</v>
      </c>
      <c r="C44">
        <v>16</v>
      </c>
      <c r="D44">
        <v>3</v>
      </c>
      <c r="E44">
        <v>7.8</v>
      </c>
      <c r="F44" s="1">
        <v>0.407</v>
      </c>
    </row>
    <row r="45">
      <c r="A45" t="str">
        <v>Washington Wizards</v>
      </c>
      <c r="B45" t="str">
        <v>Wing1</v>
      </c>
      <c r="C45">
        <v>18.2</v>
      </c>
      <c r="D45">
        <v>4</v>
      </c>
      <c r="E45">
        <v>3.1</v>
      </c>
      <c r="F45" s="1">
        <v>0.361</v>
      </c>
    </row>
    <row r="46">
      <c r="A46" t="str">
        <v>Washington Wizards</v>
      </c>
      <c r="B46" t="str">
        <v>Big1</v>
      </c>
      <c r="C46">
        <v>15.6</v>
      </c>
      <c r="D46">
        <v>12.6</v>
      </c>
      <c r="E46">
        <v>2.5</v>
      </c>
      <c r="F46" s="1">
        <v>0.348</v>
      </c>
    </row>
    <row r="47">
      <c r="A47" t="str">
        <v>Denver Nuggets</v>
      </c>
      <c r="B47" t="str">
        <v>PG1</v>
      </c>
      <c r="C47">
        <v>14.5</v>
      </c>
      <c r="D47">
        <v>4.5</v>
      </c>
      <c r="E47">
        <v>9.2</v>
      </c>
      <c r="F47" s="1">
        <v>0.392</v>
      </c>
    </row>
    <row r="48">
      <c r="A48" t="str">
        <v>Denver Nuggets</v>
      </c>
      <c r="B48" t="str">
        <v>Wing1</v>
      </c>
      <c r="C48">
        <v>20.6</v>
      </c>
      <c r="D48">
        <v>4.9</v>
      </c>
      <c r="E48">
        <v>5.5</v>
      </c>
      <c r="F48" s="1">
        <v>0.349</v>
      </c>
    </row>
    <row r="49">
      <c r="A49" t="str">
        <v>Denver Nuggets</v>
      </c>
      <c r="B49" t="str">
        <v>Big1</v>
      </c>
      <c r="C49">
        <v>22.3</v>
      </c>
      <c r="D49">
        <v>10.9</v>
      </c>
      <c r="E49">
        <v>4.4</v>
      </c>
      <c r="F49" s="1">
        <v>0.239</v>
      </c>
    </row>
    <row r="50">
      <c r="A50" t="str">
        <v>Minnesota Timberwolves</v>
      </c>
      <c r="B50" t="str">
        <v>PG1</v>
      </c>
      <c r="C50">
        <v>14.5</v>
      </c>
      <c r="D50">
        <v>4.6</v>
      </c>
      <c r="E50">
        <v>9.6</v>
      </c>
      <c r="F50" s="1">
        <v>0.4</v>
      </c>
    </row>
    <row r="51">
      <c r="A51" t="str">
        <v>Minnesota Timberwolves</v>
      </c>
      <c r="B51" t="str">
        <v>Wing1</v>
      </c>
      <c r="C51">
        <v>26</v>
      </c>
      <c r="D51">
        <v>5.9</v>
      </c>
      <c r="E51">
        <v>3.9</v>
      </c>
      <c r="F51" s="1">
        <v>0.391</v>
      </c>
    </row>
    <row r="52">
      <c r="A52" t="str">
        <v>Minnesota Timberwolves</v>
      </c>
      <c r="B52" t="str">
        <v>Big1</v>
      </c>
      <c r="C52">
        <v>18.4</v>
      </c>
      <c r="D52">
        <v>10.8</v>
      </c>
      <c r="E52">
        <v>4</v>
      </c>
      <c r="F52" s="1">
        <v>0.163</v>
      </c>
    </row>
    <row r="53">
      <c r="A53" t="str">
        <v>Oklahoma City Thunder</v>
      </c>
      <c r="B53" t="str">
        <v>PG1</v>
      </c>
      <c r="C53">
        <v>23.3</v>
      </c>
      <c r="D53">
        <v>5.2</v>
      </c>
      <c r="E53">
        <v>7</v>
      </c>
      <c r="F53" s="1">
        <v>0.351</v>
      </c>
    </row>
    <row r="54">
      <c r="A54" t="str">
        <v>Oklahoma City Thunder</v>
      </c>
      <c r="B54" t="str">
        <v>Wing1</v>
      </c>
      <c r="C54">
        <v>16.4</v>
      </c>
      <c r="D54">
        <v>6.4</v>
      </c>
      <c r="E54">
        <v>3.5</v>
      </c>
      <c r="F54" s="1">
        <v>0.407</v>
      </c>
    </row>
    <row r="55">
      <c r="A55" t="str">
        <v>Oklahoma City Thunder</v>
      </c>
      <c r="B55" t="str">
        <v>Big1</v>
      </c>
      <c r="C55">
        <v>26.4</v>
      </c>
      <c r="D55">
        <v>11.5</v>
      </c>
      <c r="E55">
        <v>5</v>
      </c>
      <c r="F55" s="1">
        <v>0.248</v>
      </c>
    </row>
    <row r="56">
      <c r="A56" t="str">
        <v>Portland Trail Blazers</v>
      </c>
      <c r="B56" t="str">
        <v>PG1</v>
      </c>
      <c r="C56">
        <v>15.7</v>
      </c>
      <c r="D56">
        <v>5</v>
      </c>
      <c r="E56">
        <v>5.1</v>
      </c>
      <c r="F56" s="1">
        <v>0.329</v>
      </c>
    </row>
    <row r="57">
      <c r="A57" t="str">
        <v>Portland Trail Blazers</v>
      </c>
      <c r="B57" t="str">
        <v>Wing1</v>
      </c>
      <c r="C57">
        <v>26.8</v>
      </c>
      <c r="D57">
        <v>4.2</v>
      </c>
      <c r="E57">
        <v>3.4</v>
      </c>
      <c r="F57" s="1">
        <v>0.342</v>
      </c>
    </row>
    <row r="58">
      <c r="A58" t="str">
        <v>Portland Trail Blazers</v>
      </c>
      <c r="B58" t="str">
        <v>Big1</v>
      </c>
      <c r="C58">
        <v>15.2</v>
      </c>
      <c r="D58">
        <v>8.1</v>
      </c>
      <c r="E58">
        <v>4.1</v>
      </c>
      <c r="F58" s="1">
        <v>0.148</v>
      </c>
    </row>
    <row r="59">
      <c r="A59" t="str">
        <v>Utah Jazz</v>
      </c>
      <c r="B59" t="str">
        <v>PG1</v>
      </c>
      <c r="C59">
        <v>15</v>
      </c>
      <c r="D59">
        <v>3.2</v>
      </c>
      <c r="E59">
        <v>8.2</v>
      </c>
      <c r="F59" s="1">
        <v>0.403</v>
      </c>
    </row>
    <row r="60">
      <c r="A60" t="str">
        <v>Utah Jazz</v>
      </c>
      <c r="B60" t="str">
        <v>Wing1</v>
      </c>
      <c r="C60">
        <v>20</v>
      </c>
      <c r="D60">
        <v>6.9</v>
      </c>
      <c r="E60">
        <v>4.3</v>
      </c>
      <c r="F60" s="1">
        <v>0.39</v>
      </c>
    </row>
    <row r="61">
      <c r="A61" t="str">
        <v>Utah Jazz</v>
      </c>
      <c r="B61" t="str">
        <v>Big1</v>
      </c>
      <c r="C61">
        <v>17.4</v>
      </c>
      <c r="D61">
        <v>8.7</v>
      </c>
      <c r="E61">
        <v>2</v>
      </c>
      <c r="F61" s="1">
        <v>0.149</v>
      </c>
    </row>
    <row r="62">
      <c r="A62" t="str">
        <v>Golden State Warriors</v>
      </c>
      <c r="B62" t="str">
        <v>PG1</v>
      </c>
      <c r="C62">
        <v>19.7</v>
      </c>
      <c r="D62">
        <v>3.4</v>
      </c>
      <c r="E62">
        <v>8.7</v>
      </c>
      <c r="F62" s="1">
        <v>0.323</v>
      </c>
    </row>
    <row r="63">
      <c r="A63" t="str">
        <v>Golden State Warriors</v>
      </c>
      <c r="B63" t="str">
        <v>Wing1</v>
      </c>
      <c r="C63">
        <v>16.8</v>
      </c>
      <c r="D63">
        <v>5.9</v>
      </c>
      <c r="E63">
        <v>2.8</v>
      </c>
      <c r="F63" s="1">
        <v>0.347</v>
      </c>
    </row>
    <row r="64">
      <c r="A64" t="str">
        <v>Golden State Warriors</v>
      </c>
      <c r="B64" t="str">
        <v>Big1</v>
      </c>
      <c r="C64">
        <v>17.6</v>
      </c>
      <c r="D64">
        <v>7.7</v>
      </c>
      <c r="E64">
        <v>3.3</v>
      </c>
      <c r="F64" s="1">
        <v>0.001</v>
      </c>
    </row>
    <row r="65">
      <c r="A65" t="str">
        <v>LA Clippers</v>
      </c>
      <c r="B65" t="str">
        <v>PG1</v>
      </c>
      <c r="C65">
        <v>14.2</v>
      </c>
      <c r="D65">
        <v>4.5</v>
      </c>
      <c r="E65">
        <v>8.3</v>
      </c>
      <c r="F65" s="1">
        <v>0.412</v>
      </c>
    </row>
    <row r="66">
      <c r="A66" t="str">
        <v>LA Clippers</v>
      </c>
      <c r="B66" t="str">
        <v>Wing1</v>
      </c>
      <c r="C66">
        <v>27.7</v>
      </c>
      <c r="D66">
        <v>6</v>
      </c>
      <c r="E66">
        <v>5</v>
      </c>
      <c r="F66" s="1">
        <v>0.353</v>
      </c>
    </row>
    <row r="67">
      <c r="A67" t="str">
        <v>LA Clippers</v>
      </c>
      <c r="B67" t="str">
        <v>Big1</v>
      </c>
      <c r="C67">
        <v>20.2</v>
      </c>
      <c r="D67">
        <v>12.9</v>
      </c>
      <c r="E67">
        <v>3</v>
      </c>
      <c r="F67" s="1">
        <v>0.008</v>
      </c>
    </row>
    <row r="68">
      <c r="A68" t="str">
        <v>Los Angeles Lakers</v>
      </c>
      <c r="B68" t="str">
        <v>PG1</v>
      </c>
      <c r="C68">
        <v>21.7</v>
      </c>
      <c r="D68">
        <v>4.3</v>
      </c>
      <c r="E68">
        <v>6.7</v>
      </c>
      <c r="F68" s="1">
        <v>0.335</v>
      </c>
    </row>
    <row r="69">
      <c r="A69" t="str">
        <v>Los Angeles Lakers</v>
      </c>
      <c r="B69" t="str">
        <v>Wing1</v>
      </c>
      <c r="C69">
        <v>16.1</v>
      </c>
      <c r="D69">
        <v>6.8</v>
      </c>
      <c r="E69">
        <v>4.1</v>
      </c>
      <c r="F69" s="1">
        <v>0.361</v>
      </c>
    </row>
    <row r="70">
      <c r="A70" t="str">
        <v>Los Angeles Lakers</v>
      </c>
      <c r="B70" t="str">
        <v>Big1</v>
      </c>
      <c r="C70">
        <v>16.6</v>
      </c>
      <c r="D70">
        <v>10.1</v>
      </c>
      <c r="E70">
        <v>4.1</v>
      </c>
      <c r="F70" s="1">
        <v>0.192</v>
      </c>
    </row>
    <row r="71">
      <c r="A71" t="str">
        <v>Phoenix Suns</v>
      </c>
      <c r="B71" t="str">
        <v>PG1</v>
      </c>
      <c r="C71">
        <v>20.9</v>
      </c>
      <c r="D71">
        <v>4.1</v>
      </c>
      <c r="E71">
        <v>5.9</v>
      </c>
      <c r="F71" s="1">
        <v>0.326</v>
      </c>
    </row>
    <row r="72">
      <c r="A72" t="str">
        <v>Phoenix Suns</v>
      </c>
      <c r="B72" t="str">
        <v>Wing1</v>
      </c>
      <c r="C72">
        <v>24.3</v>
      </c>
      <c r="D72">
        <v>6.3</v>
      </c>
      <c r="E72">
        <v>5.7</v>
      </c>
      <c r="F72" s="1">
        <v>0.402</v>
      </c>
    </row>
    <row r="73">
      <c r="A73" t="str">
        <v>Phoenix Suns</v>
      </c>
      <c r="B73" t="str">
        <v>Big1</v>
      </c>
      <c r="C73">
        <v>19.2</v>
      </c>
      <c r="D73">
        <v>7.7</v>
      </c>
      <c r="E73">
        <v>2.1</v>
      </c>
      <c r="F73" s="1">
        <v>0.231</v>
      </c>
    </row>
    <row r="74">
      <c r="A74" t="str">
        <v>Sacramento Kings</v>
      </c>
      <c r="B74" t="str">
        <v>PG1</v>
      </c>
      <c r="C74">
        <v>16.4</v>
      </c>
      <c r="D74">
        <v>2.6</v>
      </c>
      <c r="E74">
        <v>5.9</v>
      </c>
      <c r="F74" s="1">
        <v>0.331</v>
      </c>
    </row>
    <row r="75">
      <c r="A75" t="str">
        <v>Sacramento Kings</v>
      </c>
      <c r="B75" t="str">
        <v>Wing1</v>
      </c>
      <c r="C75">
        <v>25</v>
      </c>
      <c r="D75">
        <v>4.4</v>
      </c>
      <c r="E75">
        <v>2.7</v>
      </c>
      <c r="F75" s="1">
        <v>0.346</v>
      </c>
    </row>
    <row r="76">
      <c r="A76" t="str">
        <v>Sacramento Kings</v>
      </c>
      <c r="B76" t="str">
        <v>Big1</v>
      </c>
      <c r="C76">
        <v>23.5</v>
      </c>
      <c r="D76">
        <v>9.7</v>
      </c>
      <c r="E76">
        <v>3.6</v>
      </c>
      <c r="F76" s="1">
        <v>0.065</v>
      </c>
    </row>
    <row r="77">
      <c r="A77" t="str">
        <v>Dallas Mavericks</v>
      </c>
      <c r="B77" t="str">
        <v>PG1</v>
      </c>
      <c r="C77">
        <v>14</v>
      </c>
      <c r="D77">
        <v>4.2</v>
      </c>
      <c r="E77">
        <v>5.4</v>
      </c>
      <c r="F77" s="1">
        <v>0.416</v>
      </c>
    </row>
    <row r="78">
      <c r="A78" t="str">
        <v>Dallas Mavericks</v>
      </c>
      <c r="B78" t="str">
        <v>Wing1</v>
      </c>
      <c r="C78">
        <v>26.8</v>
      </c>
      <c r="D78">
        <v>4.7</v>
      </c>
      <c r="E78">
        <v>5.5</v>
      </c>
      <c r="F78" s="1">
        <v>0.352</v>
      </c>
    </row>
    <row r="79">
      <c r="A79" t="str">
        <v>Dallas Mavericks</v>
      </c>
      <c r="B79" t="str">
        <v>Big1</v>
      </c>
      <c r="C79">
        <v>24.6</v>
      </c>
      <c r="D79">
        <v>9.1</v>
      </c>
      <c r="E79">
        <v>3.3</v>
      </c>
      <c r="F79" s="1">
        <v>0.308</v>
      </c>
    </row>
    <row r="80">
      <c r="A80" t="str">
        <v>Houston Rockets</v>
      </c>
      <c r="B80" t="str">
        <v>PG1</v>
      </c>
      <c r="C80">
        <v>21.8</v>
      </c>
      <c r="D80">
        <v>2.6</v>
      </c>
      <c r="E80">
        <v>5.5</v>
      </c>
      <c r="F80" s="1">
        <v>0.381</v>
      </c>
    </row>
    <row r="81">
      <c r="A81" t="str">
        <v>Houston Rockets</v>
      </c>
      <c r="B81" t="str">
        <v>Wing1</v>
      </c>
      <c r="C81">
        <v>24.4</v>
      </c>
      <c r="D81">
        <v>5.1</v>
      </c>
      <c r="E81">
        <v>4.8</v>
      </c>
      <c r="F81" s="1">
        <v>0.374</v>
      </c>
    </row>
    <row r="82">
      <c r="A82" t="str">
        <v>Houston Rockets</v>
      </c>
      <c r="B82" t="str">
        <v>Big1</v>
      </c>
      <c r="C82">
        <v>17.5</v>
      </c>
      <c r="D82">
        <v>7.9</v>
      </c>
      <c r="E82">
        <v>4.7</v>
      </c>
      <c r="F82" s="1">
        <v>0.104</v>
      </c>
    </row>
    <row r="83">
      <c r="A83" t="str">
        <v>Memphis Grizzlies</v>
      </c>
      <c r="B83" t="str">
        <v>PG1</v>
      </c>
      <c r="C83">
        <v>24.7</v>
      </c>
      <c r="D83">
        <v>5</v>
      </c>
      <c r="E83">
        <v>9</v>
      </c>
      <c r="F83" s="1">
        <v>0.394</v>
      </c>
    </row>
    <row r="84">
      <c r="A84" t="str">
        <v>Memphis Grizzlies</v>
      </c>
      <c r="B84" t="str">
        <v>Wing1</v>
      </c>
      <c r="C84">
        <v>25.7</v>
      </c>
      <c r="D84">
        <v>5.4</v>
      </c>
      <c r="E84">
        <v>4.2</v>
      </c>
      <c r="F84" s="1">
        <v>0.368</v>
      </c>
    </row>
    <row r="85">
      <c r="A85" t="str">
        <v>Memphis Grizzlies</v>
      </c>
      <c r="B85" t="str">
        <v>Big1</v>
      </c>
      <c r="C85">
        <v>16.6</v>
      </c>
      <c r="D85">
        <v>8.7</v>
      </c>
      <c r="E85">
        <v>4.6</v>
      </c>
      <c r="F85" s="1">
        <v>0.264</v>
      </c>
    </row>
    <row r="86">
      <c r="A86" t="str">
        <v>New Orleans Pelicans</v>
      </c>
      <c r="B86" t="str">
        <v>PG1</v>
      </c>
      <c r="C86">
        <v>25.5</v>
      </c>
      <c r="D86">
        <v>3.3</v>
      </c>
      <c r="E86">
        <v>7.4</v>
      </c>
      <c r="F86" s="1">
        <v>0.326</v>
      </c>
    </row>
    <row r="87">
      <c r="A87" t="str">
        <v>New Orleans Pelicans</v>
      </c>
      <c r="B87" t="str">
        <v>Wing1</v>
      </c>
      <c r="C87">
        <v>20.2</v>
      </c>
      <c r="D87">
        <v>4</v>
      </c>
      <c r="E87">
        <v>2.9</v>
      </c>
      <c r="F87" s="1">
        <v>0.39</v>
      </c>
    </row>
    <row r="88">
      <c r="A88" t="str">
        <v>New Orleans Pelicans</v>
      </c>
      <c r="B88" t="str">
        <v>Big1</v>
      </c>
      <c r="C88">
        <v>15.6</v>
      </c>
      <c r="D88">
        <v>11.6</v>
      </c>
      <c r="E88">
        <v>3.4</v>
      </c>
      <c r="F88" s="1">
        <v>0.149</v>
      </c>
    </row>
    <row r="89">
      <c r="A89" t="str">
        <v>San Antonio Spurs</v>
      </c>
      <c r="B89" t="str">
        <v>PG1</v>
      </c>
      <c r="C89">
        <v>16.1</v>
      </c>
      <c r="D89">
        <v>5.6</v>
      </c>
      <c r="E89">
        <v>6.9</v>
      </c>
      <c r="F89" s="1">
        <v>0.326</v>
      </c>
    </row>
    <row r="90">
      <c r="A90" t="str">
        <v>San Antonio Spurs</v>
      </c>
      <c r="B90" t="str">
        <v>Wing1</v>
      </c>
      <c r="C90">
        <v>21.2</v>
      </c>
      <c r="D90">
        <v>6.5</v>
      </c>
      <c r="E90">
        <v>2.7</v>
      </c>
      <c r="F90" s="1">
        <v>0.4</v>
      </c>
    </row>
    <row r="91">
      <c r="A91" t="str">
        <v>San Antonio Spurs</v>
      </c>
      <c r="B91" t="str">
        <v>Big1</v>
      </c>
      <c r="C91">
        <v>26.6</v>
      </c>
      <c r="D91">
        <v>7.1</v>
      </c>
      <c r="E91">
        <v>3</v>
      </c>
      <c r="F91" s="1">
        <v>0.348</v>
      </c>
    </row>
  </sheetData>
  <autoFilter ref="A1:F91"/>
  <ignoredErrors>
    <ignoredError numberStoredAsText="1" sqref="A1:F9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M33"/>
  <sheetViews>
    <sheetView workbookViewId="0"/>
  </sheetViews>
  <cols>
    <col min="1" max="1" width="22.83203125" customWidth="1"/>
    <col min="2" max="2" width="10.83203125" customWidth="1"/>
    <col min="3" max="3" width="12.83203125" customWidth="1"/>
    <col min="4" max="4" width="7.83203125" customWidth="1"/>
    <col min="5" max="5" width="6.83203125" customWidth="1"/>
    <col min="6" max="6" width="7.83203125" customWidth="1"/>
    <col min="7" max="7" width="6.83203125" customWidth="1"/>
    <col min="8" max="8" width="7.83203125" customWidth="1"/>
    <col min="9" max="9" width="8.83203125" customWidth="1"/>
    <col min="10" max="10" width="7.83203125" customWidth="1"/>
    <col min="11" max="11" width="7.83203125" customWidth="1"/>
    <col min="12" max="12" width="6.83203125" customWidth="1"/>
    <col min="13" max="13" width="6.83203125" customWidth="1"/>
  </cols>
  <sheetData>
    <row r="1">
      <c r="A1" t="str">
        <v>Team</v>
      </c>
      <c r="B1" t="str">
        <v>Conference</v>
      </c>
      <c r="C1" t="str">
        <v>Division</v>
      </c>
      <c r="D1" t="str">
        <v>Games</v>
      </c>
      <c r="E1" t="str">
        <v>Wins</v>
      </c>
      <c r="F1" t="str">
        <v>Losses</v>
      </c>
      <c r="G1" t="str">
        <v>OTL</v>
      </c>
      <c r="H1" t="str">
        <v>Points</v>
      </c>
      <c r="I1" t="str">
        <v>Points %</v>
      </c>
      <c r="J1" t="str">
        <v>GF/Gm</v>
      </c>
      <c r="K1" t="str">
        <v>GA/Gm</v>
      </c>
      <c r="L1" t="str">
        <v>PP %</v>
      </c>
      <c r="M1" t="str">
        <v>PK %</v>
      </c>
    </row>
    <row r="2">
      <c r="A2" t="str">
        <v>Boston Bruins</v>
      </c>
      <c r="B2" t="str">
        <v>East</v>
      </c>
      <c r="C2" t="str">
        <v>Atlantic</v>
      </c>
      <c r="D2">
        <v>82</v>
      </c>
      <c r="E2">
        <v>38</v>
      </c>
      <c r="F2">
        <f>D2-E2-G2</f>
      </c>
      <c r="G2">
        <v>10</v>
      </c>
      <c r="H2">
        <f>E2*2+G2</f>
      </c>
      <c r="I2" s="1">
        <f>H2/(D2*2)</f>
      </c>
      <c r="J2">
        <v>3.09</v>
      </c>
      <c r="K2">
        <v>3.17</v>
      </c>
      <c r="L2" s="1">
        <v>0.205</v>
      </c>
      <c r="M2" s="1">
        <v>0.777</v>
      </c>
    </row>
    <row r="3">
      <c r="A3" t="str">
        <v>Buffalo Sabres</v>
      </c>
      <c r="B3" t="str">
        <v>East</v>
      </c>
      <c r="C3" t="str">
        <v>Atlantic</v>
      </c>
      <c r="D3">
        <v>82</v>
      </c>
      <c r="E3">
        <v>43</v>
      </c>
      <c r="F3">
        <f>D3-E3-G3</f>
      </c>
      <c r="G3">
        <v>7</v>
      </c>
      <c r="H3">
        <f>E3*2+G3</f>
      </c>
      <c r="I3" s="1">
        <f>H3/(D3*2)</f>
      </c>
      <c r="J3">
        <v>2.54</v>
      </c>
      <c r="K3">
        <v>2.68</v>
      </c>
      <c r="L3" s="1">
        <v>0.203</v>
      </c>
      <c r="M3" s="1">
        <v>0.82</v>
      </c>
    </row>
    <row r="4">
      <c r="A4" t="str">
        <v>Detroit Red Wings</v>
      </c>
      <c r="B4" t="str">
        <v>East</v>
      </c>
      <c r="C4" t="str">
        <v>Atlantic</v>
      </c>
      <c r="D4">
        <v>82</v>
      </c>
      <c r="E4">
        <v>44</v>
      </c>
      <c r="F4">
        <f>D4-E4-G4</f>
      </c>
      <c r="G4">
        <v>6</v>
      </c>
      <c r="H4">
        <f>E4*2+G4</f>
      </c>
      <c r="I4" s="1">
        <f>H4/(D4*2)</f>
      </c>
      <c r="J4">
        <v>3.22</v>
      </c>
      <c r="K4">
        <v>3.6</v>
      </c>
      <c r="L4" s="1">
        <v>0.177</v>
      </c>
      <c r="M4" s="1">
        <v>0.774</v>
      </c>
    </row>
    <row r="5">
      <c r="A5" t="str">
        <v>Florida Panthers</v>
      </c>
      <c r="B5" t="str">
        <v>East</v>
      </c>
      <c r="C5" t="str">
        <v>Atlantic</v>
      </c>
      <c r="D5">
        <v>82</v>
      </c>
      <c r="E5">
        <v>58</v>
      </c>
      <c r="F5">
        <f>D5-E5-G5</f>
      </c>
      <c r="G5">
        <v>11</v>
      </c>
      <c r="H5">
        <f>E5*2+G5</f>
      </c>
      <c r="I5" s="1">
        <f>H5/(D5*2)</f>
      </c>
      <c r="J5">
        <v>3.74</v>
      </c>
      <c r="K5">
        <v>2.97</v>
      </c>
      <c r="L5" s="1">
        <v>0.189</v>
      </c>
      <c r="M5" s="1">
        <v>0.856</v>
      </c>
    </row>
    <row r="6">
      <c r="A6" t="str">
        <v>Montreal Canadiens</v>
      </c>
      <c r="B6" t="str">
        <v>East</v>
      </c>
      <c r="C6" t="str">
        <v>Atlantic</v>
      </c>
      <c r="D6">
        <v>82</v>
      </c>
      <c r="E6">
        <v>43</v>
      </c>
      <c r="F6">
        <f>D6-E6-G6</f>
      </c>
      <c r="G6">
        <v>4</v>
      </c>
      <c r="H6">
        <f>E6*2+G6</f>
      </c>
      <c r="I6" s="1">
        <f>H6/(D6*2)</f>
      </c>
      <c r="J6">
        <v>3.03</v>
      </c>
      <c r="K6">
        <v>2.86</v>
      </c>
      <c r="L6" s="1">
        <v>0.203</v>
      </c>
      <c r="M6" s="1">
        <v>0.832</v>
      </c>
    </row>
    <row r="7">
      <c r="A7" t="str">
        <v>Ottawa Senators</v>
      </c>
      <c r="B7" t="str">
        <v>East</v>
      </c>
      <c r="C7" t="str">
        <v>Atlantic</v>
      </c>
      <c r="D7">
        <v>82</v>
      </c>
      <c r="E7">
        <v>44</v>
      </c>
      <c r="F7">
        <f>D7-E7-G7</f>
      </c>
      <c r="G7">
        <v>4</v>
      </c>
      <c r="H7">
        <f>E7*2+G7</f>
      </c>
      <c r="I7" s="1">
        <f>H7/(D7*2)</f>
      </c>
      <c r="J7">
        <v>3.39</v>
      </c>
      <c r="K7">
        <v>3.08</v>
      </c>
      <c r="L7" s="1">
        <v>0.171</v>
      </c>
      <c r="M7" s="1">
        <v>0.749</v>
      </c>
    </row>
    <row r="8">
      <c r="A8" t="str">
        <v>Tampa Bay Lightning</v>
      </c>
      <c r="B8" t="str">
        <v>East</v>
      </c>
      <c r="C8" t="str">
        <v>Atlantic</v>
      </c>
      <c r="D8">
        <v>82</v>
      </c>
      <c r="E8">
        <v>44</v>
      </c>
      <c r="F8">
        <f>D8-E8-G8</f>
      </c>
      <c r="G8">
        <v>5</v>
      </c>
      <c r="H8">
        <f>E8*2+G8</f>
      </c>
      <c r="I8" s="1">
        <f>H8/(D8*2)</f>
      </c>
      <c r="J8">
        <v>3.41</v>
      </c>
      <c r="K8">
        <v>3.3</v>
      </c>
      <c r="L8" s="1">
        <v>0.187</v>
      </c>
      <c r="M8" s="1">
        <v>0.797</v>
      </c>
    </row>
    <row r="9">
      <c r="A9" t="str">
        <v>Toronto Maple Leafs</v>
      </c>
      <c r="B9" t="str">
        <v>East</v>
      </c>
      <c r="C9" t="str">
        <v>Atlantic</v>
      </c>
      <c r="D9">
        <v>82</v>
      </c>
      <c r="E9">
        <v>41</v>
      </c>
      <c r="F9">
        <f>D9-E9-G9</f>
      </c>
      <c r="G9">
        <v>3</v>
      </c>
      <c r="H9">
        <f>E9*2+G9</f>
      </c>
      <c r="I9" s="1">
        <f>H9/(D9*2)</f>
      </c>
      <c r="J9">
        <v>2.65</v>
      </c>
      <c r="K9">
        <v>3.18</v>
      </c>
      <c r="L9" s="1">
        <v>0.249</v>
      </c>
      <c r="M9" s="1">
        <v>0.756</v>
      </c>
    </row>
    <row r="10">
      <c r="A10" t="str">
        <v>Carolina Hurricanes</v>
      </c>
      <c r="B10" t="str">
        <v>East</v>
      </c>
      <c r="C10" t="str">
        <v>Metropolitan</v>
      </c>
      <c r="D10">
        <v>82</v>
      </c>
      <c r="E10">
        <v>22</v>
      </c>
      <c r="F10">
        <f>D10-E10-G10</f>
      </c>
      <c r="G10">
        <v>5</v>
      </c>
      <c r="H10">
        <f>E10*2+G10</f>
      </c>
      <c r="I10" s="1">
        <f>H10/(D10*2)</f>
      </c>
      <c r="J10">
        <v>3.29</v>
      </c>
      <c r="K10">
        <v>2.47</v>
      </c>
      <c r="L10" s="1">
        <v>0.256</v>
      </c>
      <c r="M10" s="1">
        <v>0.79</v>
      </c>
    </row>
    <row r="11">
      <c r="A11" t="str">
        <v>Columbus Blue Jackets</v>
      </c>
      <c r="B11" t="str">
        <v>East</v>
      </c>
      <c r="C11" t="str">
        <v>Metropolitan</v>
      </c>
      <c r="D11">
        <v>82</v>
      </c>
      <c r="E11">
        <v>23</v>
      </c>
      <c r="F11">
        <f>D11-E11-G11</f>
      </c>
      <c r="G11">
        <v>11</v>
      </c>
      <c r="H11">
        <f>E11*2+G11</f>
      </c>
      <c r="I11" s="1">
        <f>H11/(D11*2)</f>
      </c>
      <c r="J11">
        <v>3.67</v>
      </c>
      <c r="K11">
        <v>2.61</v>
      </c>
      <c r="L11" s="1">
        <v>0.167</v>
      </c>
      <c r="M11" s="1">
        <v>0.804</v>
      </c>
    </row>
    <row r="12">
      <c r="A12" t="str">
        <v>New Jersey Devils</v>
      </c>
      <c r="B12" t="str">
        <v>East</v>
      </c>
      <c r="C12" t="str">
        <v>Metropolitan</v>
      </c>
      <c r="D12">
        <v>82</v>
      </c>
      <c r="E12">
        <v>47</v>
      </c>
      <c r="F12">
        <f>D12-E12-G12</f>
      </c>
      <c r="G12">
        <v>12</v>
      </c>
      <c r="H12">
        <f>E12*2+G12</f>
      </c>
      <c r="I12" s="1">
        <f>H12/(D12*2)</f>
      </c>
      <c r="J12">
        <v>3.39</v>
      </c>
      <c r="K12">
        <v>2.97</v>
      </c>
      <c r="L12" s="1">
        <v>0.178</v>
      </c>
      <c r="M12" s="1">
        <v>0.857</v>
      </c>
    </row>
    <row r="13">
      <c r="A13" t="str">
        <v>New York Islanders</v>
      </c>
      <c r="B13" t="str">
        <v>East</v>
      </c>
      <c r="C13" t="str">
        <v>Metropolitan</v>
      </c>
      <c r="D13">
        <v>82</v>
      </c>
      <c r="E13">
        <v>41</v>
      </c>
      <c r="F13">
        <f>D13-E13-G13</f>
      </c>
      <c r="G13">
        <v>6</v>
      </c>
      <c r="H13">
        <f>E13*2+G13</f>
      </c>
      <c r="I13" s="1">
        <f>H13/(D13*2)</f>
      </c>
      <c r="J13">
        <v>3.74</v>
      </c>
      <c r="K13">
        <v>2.71</v>
      </c>
      <c r="L13" s="1">
        <v>0.165</v>
      </c>
      <c r="M13" s="1">
        <v>0.817</v>
      </c>
    </row>
    <row r="14">
      <c r="A14" t="str">
        <v>New York Rangers</v>
      </c>
      <c r="B14" t="str">
        <v>East</v>
      </c>
      <c r="C14" t="str">
        <v>Metropolitan</v>
      </c>
      <c r="D14">
        <v>82</v>
      </c>
      <c r="E14">
        <v>56</v>
      </c>
      <c r="F14">
        <f>D14-E14-G14</f>
      </c>
      <c r="G14">
        <v>8</v>
      </c>
      <c r="H14">
        <f>E14*2+G14</f>
      </c>
      <c r="I14" s="1">
        <f>H14/(D14*2)</f>
      </c>
      <c r="J14">
        <v>3.65</v>
      </c>
      <c r="K14">
        <v>3.05</v>
      </c>
      <c r="L14" s="1">
        <v>0.213</v>
      </c>
      <c r="M14" s="1">
        <v>0.748</v>
      </c>
    </row>
    <row r="15">
      <c r="A15" t="str">
        <v>Philadelphia Flyers</v>
      </c>
      <c r="B15" t="str">
        <v>East</v>
      </c>
      <c r="C15" t="str">
        <v>Metropolitan</v>
      </c>
      <c r="D15">
        <v>82</v>
      </c>
      <c r="E15">
        <v>36</v>
      </c>
      <c r="F15">
        <f>D15-E15-G15</f>
      </c>
      <c r="G15">
        <v>3</v>
      </c>
      <c r="H15">
        <f>E15*2+G15</f>
      </c>
      <c r="I15" s="1">
        <f>H15/(D15*2)</f>
      </c>
      <c r="J15">
        <v>3.05</v>
      </c>
      <c r="K15">
        <v>2.73</v>
      </c>
      <c r="L15" s="1">
        <v>0.24</v>
      </c>
      <c r="M15" s="1">
        <v>0.783</v>
      </c>
    </row>
    <row r="16">
      <c r="A16" t="str">
        <v>Pittsburgh Penguins</v>
      </c>
      <c r="B16" t="str">
        <v>East</v>
      </c>
      <c r="C16" t="str">
        <v>Metropolitan</v>
      </c>
      <c r="D16">
        <v>82</v>
      </c>
      <c r="E16">
        <v>20</v>
      </c>
      <c r="F16">
        <f>D16-E16-G16</f>
      </c>
      <c r="G16">
        <v>9</v>
      </c>
      <c r="H16">
        <f>E16*2+G16</f>
      </c>
      <c r="I16" s="1">
        <f>H16/(D16*2)</f>
      </c>
      <c r="J16">
        <v>2.64</v>
      </c>
      <c r="K16">
        <v>2.37</v>
      </c>
      <c r="L16" s="1">
        <v>0.189</v>
      </c>
      <c r="M16" s="1">
        <v>0.737</v>
      </c>
    </row>
    <row r="17">
      <c r="A17" t="str">
        <v>Washington Capitals</v>
      </c>
      <c r="B17" t="str">
        <v>East</v>
      </c>
      <c r="C17" t="str">
        <v>Metropolitan</v>
      </c>
      <c r="D17">
        <v>82</v>
      </c>
      <c r="E17">
        <v>37</v>
      </c>
      <c r="F17">
        <f>D17-E17-G17</f>
      </c>
      <c r="G17">
        <v>10</v>
      </c>
      <c r="H17">
        <f>E17*2+G17</f>
      </c>
      <c r="I17" s="1">
        <f>H17/(D17*2)</f>
      </c>
      <c r="J17">
        <v>3.63</v>
      </c>
      <c r="K17">
        <v>2.74</v>
      </c>
      <c r="L17" s="1">
        <v>0.26</v>
      </c>
      <c r="M17" s="1">
        <v>0.826</v>
      </c>
    </row>
    <row r="18">
      <c r="A18" t="str">
        <v>Chicago Blackhawks</v>
      </c>
      <c r="B18" t="str">
        <v>West</v>
      </c>
      <c r="C18" t="str">
        <v>Central</v>
      </c>
      <c r="D18">
        <v>82</v>
      </c>
      <c r="E18">
        <v>41</v>
      </c>
      <c r="F18">
        <f>D18-E18-G18</f>
      </c>
      <c r="G18">
        <v>10</v>
      </c>
      <c r="H18">
        <f>E18*2+G18</f>
      </c>
      <c r="I18" s="1">
        <f>H18/(D18*2)</f>
      </c>
      <c r="J18">
        <v>3.35</v>
      </c>
      <c r="K18">
        <v>2.31</v>
      </c>
      <c r="L18" s="1">
        <v>0.257</v>
      </c>
      <c r="M18" s="1">
        <v>0.784</v>
      </c>
    </row>
    <row r="19">
      <c r="A19" t="str">
        <v>Colorado Avalanche</v>
      </c>
      <c r="B19" t="str">
        <v>West</v>
      </c>
      <c r="C19" t="str">
        <v>Central</v>
      </c>
      <c r="D19">
        <v>82</v>
      </c>
      <c r="E19">
        <v>41</v>
      </c>
      <c r="F19">
        <f>D19-E19-G19</f>
      </c>
      <c r="G19">
        <v>3</v>
      </c>
      <c r="H19">
        <f>E19*2+G19</f>
      </c>
      <c r="I19" s="1">
        <f>H19/(D19*2)</f>
      </c>
      <c r="J19">
        <v>2.44</v>
      </c>
      <c r="K19">
        <v>2.99</v>
      </c>
      <c r="L19" s="1">
        <v>0.26</v>
      </c>
      <c r="M19" s="1">
        <v>0.748</v>
      </c>
    </row>
    <row r="20">
      <c r="A20" t="str">
        <v>Dallas Stars</v>
      </c>
      <c r="B20" t="str">
        <v>West</v>
      </c>
      <c r="C20" t="str">
        <v>Central</v>
      </c>
      <c r="D20">
        <v>82</v>
      </c>
      <c r="E20">
        <v>57</v>
      </c>
      <c r="F20">
        <f>D20-E20-G20</f>
      </c>
      <c r="G20">
        <v>8</v>
      </c>
      <c r="H20">
        <f>E20*2+G20</f>
      </c>
      <c r="I20" s="1">
        <f>H20/(D20*2)</f>
      </c>
      <c r="J20">
        <v>2.99</v>
      </c>
      <c r="K20">
        <v>3.22</v>
      </c>
      <c r="L20" s="1">
        <v>0.208</v>
      </c>
      <c r="M20" s="1">
        <v>0.723</v>
      </c>
    </row>
    <row r="21">
      <c r="A21" t="str">
        <v>Minnesota Wild</v>
      </c>
      <c r="B21" t="str">
        <v>West</v>
      </c>
      <c r="C21" t="str">
        <v>Central</v>
      </c>
      <c r="D21">
        <v>82</v>
      </c>
      <c r="E21">
        <v>23</v>
      </c>
      <c r="F21">
        <f>D21-E21-G21</f>
      </c>
      <c r="G21">
        <v>4</v>
      </c>
      <c r="H21">
        <f>E21*2+G21</f>
      </c>
      <c r="I21" s="1">
        <f>H21/(D21*2)</f>
      </c>
      <c r="J21">
        <v>3.79</v>
      </c>
      <c r="K21">
        <v>3.13</v>
      </c>
      <c r="L21" s="1">
        <v>0.244</v>
      </c>
      <c r="M21" s="1">
        <v>0.775</v>
      </c>
    </row>
    <row r="22">
      <c r="A22" t="str">
        <v>Nashville Predators</v>
      </c>
      <c r="B22" t="str">
        <v>West</v>
      </c>
      <c r="C22" t="str">
        <v>Central</v>
      </c>
      <c r="D22">
        <v>82</v>
      </c>
      <c r="E22">
        <v>22</v>
      </c>
      <c r="F22">
        <f>D22-E22-G22</f>
      </c>
      <c r="G22">
        <v>5</v>
      </c>
      <c r="H22">
        <f>E22*2+G22</f>
      </c>
      <c r="I22" s="1">
        <f>H22/(D22*2)</f>
      </c>
      <c r="J22">
        <v>3.5</v>
      </c>
      <c r="K22">
        <v>3.38</v>
      </c>
      <c r="L22" s="1">
        <v>0.177</v>
      </c>
      <c r="M22" s="1">
        <v>0.761</v>
      </c>
    </row>
    <row r="23">
      <c r="A23" t="str">
        <v>St. Louis Blues</v>
      </c>
      <c r="B23" t="str">
        <v>West</v>
      </c>
      <c r="C23" t="str">
        <v>Central</v>
      </c>
      <c r="D23">
        <v>82</v>
      </c>
      <c r="E23">
        <v>52</v>
      </c>
      <c r="F23">
        <f>D23-E23-G23</f>
      </c>
      <c r="G23">
        <v>9</v>
      </c>
      <c r="H23">
        <f>E23*2+G23</f>
      </c>
      <c r="I23" s="1">
        <f>H23/(D23*2)</f>
      </c>
      <c r="J23">
        <v>3.09</v>
      </c>
      <c r="K23">
        <v>2.65</v>
      </c>
      <c r="L23" s="1">
        <v>0.228</v>
      </c>
      <c r="M23" s="1">
        <v>0.723</v>
      </c>
    </row>
    <row r="24">
      <c r="A24" t="str">
        <v>Utah Mammoth</v>
      </c>
      <c r="B24" t="str">
        <v>West</v>
      </c>
      <c r="C24" t="str">
        <v>Central</v>
      </c>
      <c r="D24">
        <v>82</v>
      </c>
      <c r="E24">
        <v>54</v>
      </c>
      <c r="F24">
        <f>D24-E24-G24</f>
      </c>
      <c r="G24">
        <v>10</v>
      </c>
      <c r="H24">
        <f>E24*2+G24</f>
      </c>
      <c r="I24" s="1">
        <f>H24/(D24*2)</f>
      </c>
      <c r="J24">
        <v>3.75</v>
      </c>
      <c r="K24">
        <v>2.54</v>
      </c>
      <c r="L24" s="1">
        <v>0.232</v>
      </c>
      <c r="M24" s="1">
        <v>0.82</v>
      </c>
    </row>
    <row r="25">
      <c r="A25" t="str">
        <v>Winnipeg Jets</v>
      </c>
      <c r="B25" t="str">
        <v>West</v>
      </c>
      <c r="C25" t="str">
        <v>Central</v>
      </c>
      <c r="D25">
        <v>82</v>
      </c>
      <c r="E25">
        <v>53</v>
      </c>
      <c r="F25">
        <f>D25-E25-G25</f>
      </c>
      <c r="G25">
        <v>6</v>
      </c>
      <c r="H25">
        <f>E25*2+G25</f>
      </c>
      <c r="I25" s="1">
        <f>H25/(D25*2)</f>
      </c>
      <c r="J25">
        <v>3.59</v>
      </c>
      <c r="K25">
        <v>3.1</v>
      </c>
      <c r="L25" s="1">
        <v>0.184</v>
      </c>
      <c r="M25" s="1">
        <v>0.833</v>
      </c>
    </row>
    <row r="26">
      <c r="A26" t="str">
        <v>Anaheim Ducks</v>
      </c>
      <c r="B26" t="str">
        <v>West</v>
      </c>
      <c r="C26" t="str">
        <v>Pacific</v>
      </c>
      <c r="D26">
        <v>82</v>
      </c>
      <c r="E26">
        <v>47</v>
      </c>
      <c r="F26">
        <f>D26-E26-G26</f>
      </c>
      <c r="G26">
        <v>10</v>
      </c>
      <c r="H26">
        <f>E26*2+G26</f>
      </c>
      <c r="I26" s="1">
        <f>H26/(D26*2)</f>
      </c>
      <c r="J26">
        <v>3.63</v>
      </c>
      <c r="K26">
        <v>3.44</v>
      </c>
      <c r="L26" s="1">
        <v>0.168</v>
      </c>
      <c r="M26" s="1">
        <v>0.748</v>
      </c>
    </row>
    <row r="27">
      <c r="A27" t="str">
        <v>Calgary Flames</v>
      </c>
      <c r="B27" t="str">
        <v>West</v>
      </c>
      <c r="C27" t="str">
        <v>Pacific</v>
      </c>
      <c r="D27">
        <v>82</v>
      </c>
      <c r="E27">
        <v>54</v>
      </c>
      <c r="F27">
        <f>D27-E27-G27</f>
      </c>
      <c r="G27">
        <v>12</v>
      </c>
      <c r="H27">
        <f>E27*2+G27</f>
      </c>
      <c r="I27" s="1">
        <f>H27/(D27*2)</f>
      </c>
      <c r="J27">
        <v>2.51</v>
      </c>
      <c r="K27">
        <v>2.71</v>
      </c>
      <c r="L27" s="1">
        <v>0.182</v>
      </c>
      <c r="M27" s="1">
        <v>0.792</v>
      </c>
    </row>
    <row r="28">
      <c r="A28" t="str">
        <v>Edmonton Oilers</v>
      </c>
      <c r="B28" t="str">
        <v>West</v>
      </c>
      <c r="C28" t="str">
        <v>Pacific</v>
      </c>
      <c r="D28">
        <v>82</v>
      </c>
      <c r="E28">
        <v>41</v>
      </c>
      <c r="F28">
        <f>D28-E28-G28</f>
      </c>
      <c r="G28">
        <v>7</v>
      </c>
      <c r="H28">
        <f>E28*2+G28</f>
      </c>
      <c r="I28" s="1">
        <f>H28/(D28*2)</f>
      </c>
      <c r="J28">
        <v>2.47</v>
      </c>
      <c r="K28">
        <v>3.07</v>
      </c>
      <c r="L28" s="1">
        <v>0.269</v>
      </c>
      <c r="M28" s="1">
        <v>0.729</v>
      </c>
    </row>
    <row r="29">
      <c r="A29" t="str">
        <v>Los Angeles Kings</v>
      </c>
      <c r="B29" t="str">
        <v>West</v>
      </c>
      <c r="C29" t="str">
        <v>Pacific</v>
      </c>
      <c r="D29">
        <v>82</v>
      </c>
      <c r="E29">
        <v>47</v>
      </c>
      <c r="F29">
        <f>D29-E29-G29</f>
      </c>
      <c r="G29">
        <v>9</v>
      </c>
      <c r="H29">
        <f>E29*2+G29</f>
      </c>
      <c r="I29" s="1">
        <f>H29/(D29*2)</f>
      </c>
      <c r="J29">
        <v>2.8</v>
      </c>
      <c r="K29">
        <v>2.99</v>
      </c>
      <c r="L29" s="1">
        <v>0.259</v>
      </c>
      <c r="M29" s="1">
        <v>0.741</v>
      </c>
    </row>
    <row r="30">
      <c r="A30" t="str">
        <v>San Jose Sharks</v>
      </c>
      <c r="B30" t="str">
        <v>West</v>
      </c>
      <c r="C30" t="str">
        <v>Pacific</v>
      </c>
      <c r="D30">
        <v>82</v>
      </c>
      <c r="E30">
        <v>54</v>
      </c>
      <c r="F30">
        <f>D30-E30-G30</f>
      </c>
      <c r="G30">
        <v>12</v>
      </c>
      <c r="H30">
        <f>E30*2+G30</f>
      </c>
      <c r="I30" s="1">
        <f>H30/(D30*2)</f>
      </c>
      <c r="J30">
        <v>3.44</v>
      </c>
      <c r="K30">
        <v>2.84</v>
      </c>
      <c r="L30" s="1">
        <v>0.24</v>
      </c>
      <c r="M30" s="1">
        <v>0.745</v>
      </c>
    </row>
    <row r="31">
      <c r="A31" t="str">
        <v>Seattle Kraken</v>
      </c>
      <c r="B31" t="str">
        <v>West</v>
      </c>
      <c r="C31" t="str">
        <v>Pacific</v>
      </c>
      <c r="D31">
        <v>82</v>
      </c>
      <c r="E31">
        <v>27</v>
      </c>
      <c r="F31">
        <f>D31-E31-G31</f>
      </c>
      <c r="G31">
        <v>5</v>
      </c>
      <c r="H31">
        <f>E31*2+G31</f>
      </c>
      <c r="I31" s="1">
        <f>H31/(D31*2)</f>
      </c>
      <c r="J31">
        <v>2.48</v>
      </c>
      <c r="K31">
        <v>3.25</v>
      </c>
      <c r="L31" s="1">
        <v>0.171</v>
      </c>
      <c r="M31" s="1">
        <v>0.737</v>
      </c>
    </row>
    <row r="32">
      <c r="A32" t="str">
        <v>Vancouver Canucks</v>
      </c>
      <c r="B32" t="str">
        <v>West</v>
      </c>
      <c r="C32" t="str">
        <v>Pacific</v>
      </c>
      <c r="D32">
        <v>82</v>
      </c>
      <c r="E32">
        <v>22</v>
      </c>
      <c r="F32">
        <f>D32-E32-G32</f>
      </c>
      <c r="G32">
        <v>8</v>
      </c>
      <c r="H32">
        <f>E32*2+G32</f>
      </c>
      <c r="I32" s="1">
        <f>H32/(D32*2)</f>
      </c>
      <c r="J32">
        <v>3.19</v>
      </c>
      <c r="K32">
        <v>3.12</v>
      </c>
      <c r="L32" s="1">
        <v>0.255</v>
      </c>
      <c r="M32" s="1">
        <v>0.807</v>
      </c>
    </row>
    <row r="33">
      <c r="A33" t="str">
        <v>Vegas Golden Knights</v>
      </c>
      <c r="B33" t="str">
        <v>West</v>
      </c>
      <c r="C33" t="str">
        <v>Pacific</v>
      </c>
      <c r="D33">
        <v>82</v>
      </c>
      <c r="E33">
        <v>26</v>
      </c>
      <c r="F33">
        <f>D33-E33-G33</f>
      </c>
      <c r="G33">
        <v>9</v>
      </c>
      <c r="H33">
        <f>E33*2+G33</f>
      </c>
      <c r="I33" s="1">
        <f>H33/(D33*2)</f>
      </c>
      <c r="J33">
        <v>2.79</v>
      </c>
      <c r="K33">
        <v>2.84</v>
      </c>
      <c r="L33" s="1">
        <v>0.244</v>
      </c>
      <c r="M33" s="1">
        <v>0.735</v>
      </c>
    </row>
  </sheetData>
  <autoFilter ref="A1:M33"/>
  <ignoredErrors>
    <ignoredError numberStoredAsText="1" sqref="A1:M3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97"/>
  <sheetViews>
    <sheetView workbookViewId="0"/>
  </sheetViews>
  <cols>
    <col min="1" max="1" width="22.83203125" customWidth="1"/>
    <col min="2" max="2" width="6.83203125" customWidth="1"/>
    <col min="3" max="3" width="7.83203125" customWidth="1"/>
    <col min="4" max="4" width="8.83203125" customWidth="1"/>
    <col min="5" max="5" width="7.83203125" customWidth="1"/>
    <col min="6" max="6" width="6.83203125" customWidth="1"/>
  </cols>
  <sheetData>
    <row r="1">
      <c r="A1" t="str">
        <v>Team</v>
      </c>
      <c r="B1" t="str">
        <v>Slot</v>
      </c>
      <c r="C1" t="str">
        <v>Goals</v>
      </c>
      <c r="D1" t="str">
        <v>Assists</v>
      </c>
      <c r="E1" t="str">
        <v>Points</v>
      </c>
      <c r="F1" t="str">
        <v>+/-</v>
      </c>
    </row>
    <row r="2">
      <c r="A2" t="str">
        <v>Boston Bruins</v>
      </c>
      <c r="B2" t="str">
        <v>C1</v>
      </c>
      <c r="C2">
        <v>23</v>
      </c>
      <c r="D2">
        <v>39</v>
      </c>
      <c r="E2">
        <f>C2+D2</f>
      </c>
      <c r="F2">
        <v>1</v>
      </c>
    </row>
    <row r="3">
      <c r="A3" t="str">
        <v>Boston Bruins</v>
      </c>
      <c r="B3" t="str">
        <v>W1</v>
      </c>
      <c r="C3">
        <v>22</v>
      </c>
      <c r="D3">
        <v>32</v>
      </c>
      <c r="E3">
        <f>C3+D3</f>
      </c>
      <c r="F3">
        <v>13</v>
      </c>
    </row>
    <row r="4">
      <c r="A4" t="str">
        <v>Boston Bruins</v>
      </c>
      <c r="B4" t="str">
        <v>D1</v>
      </c>
      <c r="C4">
        <v>13</v>
      </c>
      <c r="D4">
        <v>44</v>
      </c>
      <c r="E4">
        <f>C4+D4</f>
      </c>
      <c r="F4">
        <v>16</v>
      </c>
    </row>
    <row r="5">
      <c r="A5" t="str">
        <v>Buffalo Sabres</v>
      </c>
      <c r="B5" t="str">
        <v>C1</v>
      </c>
      <c r="C5">
        <v>47</v>
      </c>
      <c r="D5">
        <v>49</v>
      </c>
      <c r="E5">
        <f>C5+D5</f>
      </c>
      <c r="F5">
        <v>-6</v>
      </c>
    </row>
    <row r="6">
      <c r="A6" t="str">
        <v>Buffalo Sabres</v>
      </c>
      <c r="B6" t="str">
        <v>W1</v>
      </c>
      <c r="C6">
        <v>32</v>
      </c>
      <c r="D6">
        <v>45</v>
      </c>
      <c r="E6">
        <f>C6+D6</f>
      </c>
      <c r="F6">
        <v>3</v>
      </c>
    </row>
    <row r="7">
      <c r="A7" t="str">
        <v>Buffalo Sabres</v>
      </c>
      <c r="B7" t="str">
        <v>D1</v>
      </c>
      <c r="C7">
        <v>7</v>
      </c>
      <c r="D7">
        <v>54</v>
      </c>
      <c r="E7">
        <f>C7+D7</f>
      </c>
      <c r="F7">
        <v>-2</v>
      </c>
    </row>
    <row r="8">
      <c r="A8" t="str">
        <v>Detroit Red Wings</v>
      </c>
      <c r="B8" t="str">
        <v>C1</v>
      </c>
      <c r="C8">
        <v>23</v>
      </c>
      <c r="D8">
        <v>53</v>
      </c>
      <c r="E8">
        <f>C8+D8</f>
      </c>
      <c r="F8">
        <v>23</v>
      </c>
    </row>
    <row r="9">
      <c r="A9" t="str">
        <v>Detroit Red Wings</v>
      </c>
      <c r="B9" t="str">
        <v>W1</v>
      </c>
      <c r="C9">
        <v>25</v>
      </c>
      <c r="D9">
        <v>38</v>
      </c>
      <c r="E9">
        <f>C9+D9</f>
      </c>
      <c r="F9">
        <v>19</v>
      </c>
    </row>
    <row r="10">
      <c r="A10" t="str">
        <v>Detroit Red Wings</v>
      </c>
      <c r="B10" t="str">
        <v>D1</v>
      </c>
      <c r="C10">
        <v>9</v>
      </c>
      <c r="D10">
        <v>40</v>
      </c>
      <c r="E10">
        <f>C10+D10</f>
      </c>
      <c r="F10">
        <v>2</v>
      </c>
    </row>
    <row r="11">
      <c r="A11" t="str">
        <v>Florida Panthers</v>
      </c>
      <c r="B11" t="str">
        <v>C1</v>
      </c>
      <c r="C11">
        <v>18</v>
      </c>
      <c r="D11">
        <v>50</v>
      </c>
      <c r="E11">
        <f>C11+D11</f>
      </c>
      <c r="F11">
        <v>1</v>
      </c>
    </row>
    <row r="12">
      <c r="A12" t="str">
        <v>Florida Panthers</v>
      </c>
      <c r="B12" t="str">
        <v>W1</v>
      </c>
      <c r="C12">
        <v>33</v>
      </c>
      <c r="D12">
        <v>30</v>
      </c>
      <c r="E12">
        <f>C12+D12</f>
      </c>
      <c r="F12">
        <v>10</v>
      </c>
    </row>
    <row r="13">
      <c r="A13" t="str">
        <v>Florida Panthers</v>
      </c>
      <c r="B13" t="str">
        <v>D1</v>
      </c>
      <c r="C13">
        <v>7</v>
      </c>
      <c r="D13">
        <v>42</v>
      </c>
      <c r="E13">
        <f>C13+D13</f>
      </c>
      <c r="F13">
        <v>4</v>
      </c>
    </row>
    <row r="14">
      <c r="A14" t="str">
        <v>Montreal Canadiens</v>
      </c>
      <c r="B14" t="str">
        <v>C1</v>
      </c>
      <c r="C14">
        <v>37</v>
      </c>
      <c r="D14">
        <v>28</v>
      </c>
      <c r="E14">
        <f>C14+D14</f>
      </c>
      <c r="F14">
        <v>15</v>
      </c>
    </row>
    <row r="15">
      <c r="A15" t="str">
        <v>Montreal Canadiens</v>
      </c>
      <c r="B15" t="str">
        <v>W1</v>
      </c>
      <c r="C15">
        <v>31</v>
      </c>
      <c r="D15">
        <v>31</v>
      </c>
      <c r="E15">
        <f>C15+D15</f>
      </c>
      <c r="F15">
        <v>-1</v>
      </c>
    </row>
    <row r="16">
      <c r="A16" t="str">
        <v>Montreal Canadiens</v>
      </c>
      <c r="B16" t="str">
        <v>D1</v>
      </c>
      <c r="C16">
        <v>9</v>
      </c>
      <c r="D16">
        <v>29</v>
      </c>
      <c r="E16">
        <f>C16+D16</f>
      </c>
      <c r="F16">
        <v>20</v>
      </c>
    </row>
    <row r="17">
      <c r="A17" t="str">
        <v>Ottawa Senators</v>
      </c>
      <c r="B17" t="str">
        <v>C1</v>
      </c>
      <c r="C17">
        <v>42</v>
      </c>
      <c r="D17">
        <v>60</v>
      </c>
      <c r="E17">
        <f>C17+D17</f>
      </c>
      <c r="F17">
        <v>-7</v>
      </c>
    </row>
    <row r="18">
      <c r="A18" t="str">
        <v>Ottawa Senators</v>
      </c>
      <c r="B18" t="str">
        <v>W1</v>
      </c>
      <c r="C18">
        <v>35</v>
      </c>
      <c r="D18">
        <v>35</v>
      </c>
      <c r="E18">
        <f>C18+D18</f>
      </c>
      <c r="F18">
        <v>11</v>
      </c>
    </row>
    <row r="19">
      <c r="A19" t="str">
        <v>Ottawa Senators</v>
      </c>
      <c r="B19" t="str">
        <v>D1</v>
      </c>
      <c r="C19">
        <v>13</v>
      </c>
      <c r="D19">
        <v>45</v>
      </c>
      <c r="E19">
        <f>C19+D19</f>
      </c>
      <c r="F19">
        <v>25</v>
      </c>
    </row>
    <row r="20">
      <c r="A20" t="str">
        <v>Tampa Bay Lightning</v>
      </c>
      <c r="B20" t="str">
        <v>C1</v>
      </c>
      <c r="C20">
        <v>45</v>
      </c>
      <c r="D20">
        <v>37</v>
      </c>
      <c r="E20">
        <f>C20+D20</f>
      </c>
      <c r="F20">
        <v>-6</v>
      </c>
    </row>
    <row r="21">
      <c r="A21" t="str">
        <v>Tampa Bay Lightning</v>
      </c>
      <c r="B21" t="str">
        <v>W1</v>
      </c>
      <c r="C21">
        <v>42</v>
      </c>
      <c r="D21">
        <v>35</v>
      </c>
      <c r="E21">
        <f>C21+D21</f>
      </c>
      <c r="F21">
        <v>2</v>
      </c>
    </row>
    <row r="22">
      <c r="A22" t="str">
        <v>Tampa Bay Lightning</v>
      </c>
      <c r="B22" t="str">
        <v>D1</v>
      </c>
      <c r="C22">
        <v>3</v>
      </c>
      <c r="D22">
        <v>23</v>
      </c>
      <c r="E22">
        <f>C22+D22</f>
      </c>
      <c r="F22">
        <v>19</v>
      </c>
    </row>
    <row r="23">
      <c r="A23" t="str">
        <v>Toronto Maple Leafs</v>
      </c>
      <c r="B23" t="str">
        <v>C1</v>
      </c>
      <c r="C23">
        <v>21</v>
      </c>
      <c r="D23">
        <v>59</v>
      </c>
      <c r="E23">
        <f>C23+D23</f>
      </c>
      <c r="F23">
        <v>-10</v>
      </c>
    </row>
    <row r="24">
      <c r="A24" t="str">
        <v>Toronto Maple Leafs</v>
      </c>
      <c r="B24" t="str">
        <v>W1</v>
      </c>
      <c r="C24">
        <v>24</v>
      </c>
      <c r="D24">
        <v>23</v>
      </c>
      <c r="E24">
        <f>C24+D24</f>
      </c>
      <c r="F24">
        <v>-2</v>
      </c>
    </row>
    <row r="25">
      <c r="A25" t="str">
        <v>Toronto Maple Leafs</v>
      </c>
      <c r="B25" t="str">
        <v>D1</v>
      </c>
      <c r="C25">
        <v>8</v>
      </c>
      <c r="D25">
        <v>52</v>
      </c>
      <c r="E25">
        <f>C25+D25</f>
      </c>
      <c r="F25">
        <v>17</v>
      </c>
    </row>
    <row r="26">
      <c r="A26" t="str">
        <v>Carolina Hurricanes</v>
      </c>
      <c r="B26" t="str">
        <v>C1</v>
      </c>
      <c r="C26">
        <v>44</v>
      </c>
      <c r="D26">
        <v>28</v>
      </c>
      <c r="E26">
        <f>C26+D26</f>
      </c>
      <c r="F26">
        <v>-2</v>
      </c>
    </row>
    <row r="27">
      <c r="A27" t="str">
        <v>Carolina Hurricanes</v>
      </c>
      <c r="B27" t="str">
        <v>W1</v>
      </c>
      <c r="C27">
        <v>42</v>
      </c>
      <c r="D27">
        <v>27</v>
      </c>
      <c r="E27">
        <f>C27+D27</f>
      </c>
      <c r="F27">
        <v>19</v>
      </c>
    </row>
    <row r="28">
      <c r="A28" t="str">
        <v>Carolina Hurricanes</v>
      </c>
      <c r="B28" t="str">
        <v>D1</v>
      </c>
      <c r="C28">
        <v>15</v>
      </c>
      <c r="D28">
        <v>47</v>
      </c>
      <c r="E28">
        <f>C28+D28</f>
      </c>
      <c r="F28">
        <v>17</v>
      </c>
    </row>
    <row r="29">
      <c r="A29" t="str">
        <v>Columbus Blue Jackets</v>
      </c>
      <c r="B29" t="str">
        <v>C1</v>
      </c>
      <c r="C29">
        <v>33</v>
      </c>
      <c r="D29">
        <v>57</v>
      </c>
      <c r="E29">
        <f>C29+D29</f>
      </c>
      <c r="F29">
        <v>14</v>
      </c>
    </row>
    <row r="30">
      <c r="A30" t="str">
        <v>Columbus Blue Jackets</v>
      </c>
      <c r="B30" t="str">
        <v>W1</v>
      </c>
      <c r="C30">
        <v>39</v>
      </c>
      <c r="D30">
        <v>33</v>
      </c>
      <c r="E30">
        <f>C30+D30</f>
      </c>
      <c r="F30">
        <v>16</v>
      </c>
    </row>
    <row r="31">
      <c r="A31" t="str">
        <v>Columbus Blue Jackets</v>
      </c>
      <c r="B31" t="str">
        <v>D1</v>
      </c>
      <c r="C31">
        <v>6</v>
      </c>
      <c r="D31">
        <v>24</v>
      </c>
      <c r="E31">
        <f>C31+D31</f>
      </c>
      <c r="F31">
        <v>-6</v>
      </c>
    </row>
    <row r="32">
      <c r="A32" t="str">
        <v>New Jersey Devils</v>
      </c>
      <c r="B32" t="str">
        <v>C1</v>
      </c>
      <c r="C32">
        <v>47</v>
      </c>
      <c r="D32">
        <v>34</v>
      </c>
      <c r="E32">
        <f>C32+D32</f>
      </c>
      <c r="F32">
        <v>-6</v>
      </c>
    </row>
    <row r="33">
      <c r="A33" t="str">
        <v>New Jersey Devils</v>
      </c>
      <c r="B33" t="str">
        <v>W1</v>
      </c>
      <c r="C33">
        <v>36</v>
      </c>
      <c r="D33">
        <v>22</v>
      </c>
      <c r="E33">
        <f>C33+D33</f>
      </c>
      <c r="F33">
        <v>-7</v>
      </c>
    </row>
    <row r="34">
      <c r="A34" t="str">
        <v>New Jersey Devils</v>
      </c>
      <c r="B34" t="str">
        <v>D1</v>
      </c>
      <c r="C34">
        <v>6</v>
      </c>
      <c r="D34">
        <v>24</v>
      </c>
      <c r="E34">
        <f>C34+D34</f>
      </c>
      <c r="F34">
        <v>22</v>
      </c>
    </row>
    <row r="35">
      <c r="A35" t="str">
        <v>New York Islanders</v>
      </c>
      <c r="B35" t="str">
        <v>C1</v>
      </c>
      <c r="C35">
        <v>18</v>
      </c>
      <c r="D35">
        <v>58</v>
      </c>
      <c r="E35">
        <f>C35+D35</f>
      </c>
      <c r="F35">
        <v>-6</v>
      </c>
    </row>
    <row r="36">
      <c r="A36" t="str">
        <v>New York Islanders</v>
      </c>
      <c r="B36" t="str">
        <v>W1</v>
      </c>
      <c r="C36">
        <v>27</v>
      </c>
      <c r="D36">
        <v>33</v>
      </c>
      <c r="E36">
        <f>C36+D36</f>
      </c>
      <c r="F36">
        <v>-6</v>
      </c>
    </row>
    <row r="37">
      <c r="A37" t="str">
        <v>New York Islanders</v>
      </c>
      <c r="B37" t="str">
        <v>D1</v>
      </c>
      <c r="C37">
        <v>16</v>
      </c>
      <c r="D37">
        <v>37</v>
      </c>
      <c r="E37">
        <f>C37+D37</f>
      </c>
      <c r="F37">
        <v>21</v>
      </c>
    </row>
    <row r="38">
      <c r="A38" t="str">
        <v>New York Rangers</v>
      </c>
      <c r="B38" t="str">
        <v>C1</v>
      </c>
      <c r="C38">
        <v>19</v>
      </c>
      <c r="D38">
        <v>42</v>
      </c>
      <c r="E38">
        <f>C38+D38</f>
      </c>
      <c r="F38">
        <v>23</v>
      </c>
    </row>
    <row r="39">
      <c r="A39" t="str">
        <v>New York Rangers</v>
      </c>
      <c r="B39" t="str">
        <v>W1</v>
      </c>
      <c r="C39">
        <v>37</v>
      </c>
      <c r="D39">
        <v>44</v>
      </c>
      <c r="E39">
        <f>C39+D39</f>
      </c>
      <c r="F39">
        <v>12</v>
      </c>
    </row>
    <row r="40">
      <c r="A40" t="str">
        <v>New York Rangers</v>
      </c>
      <c r="B40" t="str">
        <v>D1</v>
      </c>
      <c r="C40">
        <v>14</v>
      </c>
      <c r="D40">
        <v>26</v>
      </c>
      <c r="E40">
        <f>C40+D40</f>
      </c>
      <c r="F40">
        <v>21</v>
      </c>
    </row>
    <row r="41">
      <c r="A41" t="str">
        <v>Philadelphia Flyers</v>
      </c>
      <c r="B41" t="str">
        <v>C1</v>
      </c>
      <c r="C41">
        <v>28</v>
      </c>
      <c r="D41">
        <v>37</v>
      </c>
      <c r="E41">
        <f>C41+D41</f>
      </c>
      <c r="F41">
        <v>9</v>
      </c>
    </row>
    <row r="42">
      <c r="A42" t="str">
        <v>Philadelphia Flyers</v>
      </c>
      <c r="B42" t="str">
        <v>W1</v>
      </c>
      <c r="C42">
        <v>28</v>
      </c>
      <c r="D42">
        <v>39</v>
      </c>
      <c r="E42">
        <f>C42+D42</f>
      </c>
      <c r="F42">
        <v>-11</v>
      </c>
    </row>
    <row r="43">
      <c r="A43" t="str">
        <v>Philadelphia Flyers</v>
      </c>
      <c r="B43" t="str">
        <v>D1</v>
      </c>
      <c r="C43">
        <v>13</v>
      </c>
      <c r="D43">
        <v>43</v>
      </c>
      <c r="E43">
        <f>C43+D43</f>
      </c>
      <c r="F43">
        <v>-3</v>
      </c>
    </row>
    <row r="44">
      <c r="A44" t="str">
        <v>Pittsburgh Penguins</v>
      </c>
      <c r="B44" t="str">
        <v>C1</v>
      </c>
      <c r="C44">
        <v>22</v>
      </c>
      <c r="D44">
        <v>39</v>
      </c>
      <c r="E44">
        <f>C44+D44</f>
      </c>
      <c r="F44">
        <v>26</v>
      </c>
    </row>
    <row r="45">
      <c r="A45" t="str">
        <v>Pittsburgh Penguins</v>
      </c>
      <c r="B45" t="str">
        <v>W1</v>
      </c>
      <c r="C45">
        <v>22</v>
      </c>
      <c r="D45">
        <v>45</v>
      </c>
      <c r="E45">
        <f>C45+D45</f>
      </c>
      <c r="F45">
        <v>-6</v>
      </c>
    </row>
    <row r="46">
      <c r="A46" t="str">
        <v>Pittsburgh Penguins</v>
      </c>
      <c r="B46" t="str">
        <v>D1</v>
      </c>
      <c r="C46">
        <v>5</v>
      </c>
      <c r="D46">
        <v>41</v>
      </c>
      <c r="E46">
        <f>C46+D46</f>
      </c>
      <c r="F46">
        <v>25</v>
      </c>
    </row>
    <row r="47">
      <c r="A47" t="str">
        <v>Washington Capitals</v>
      </c>
      <c r="B47" t="str">
        <v>C1</v>
      </c>
      <c r="C47">
        <v>36</v>
      </c>
      <c r="D47">
        <v>51</v>
      </c>
      <c r="E47">
        <f>C47+D47</f>
      </c>
      <c r="F47">
        <v>0</v>
      </c>
    </row>
    <row r="48">
      <c r="A48" t="str">
        <v>Washington Capitals</v>
      </c>
      <c r="B48" t="str">
        <v>W1</v>
      </c>
      <c r="C48">
        <v>29</v>
      </c>
      <c r="D48">
        <v>42</v>
      </c>
      <c r="E48">
        <f>C48+D48</f>
      </c>
      <c r="F48">
        <v>-6</v>
      </c>
    </row>
    <row r="49">
      <c r="A49" t="str">
        <v>Washington Capitals</v>
      </c>
      <c r="B49" t="str">
        <v>D1</v>
      </c>
      <c r="C49">
        <v>8</v>
      </c>
      <c r="D49">
        <v>36</v>
      </c>
      <c r="E49">
        <f>C49+D49</f>
      </c>
      <c r="F49">
        <v>1</v>
      </c>
    </row>
    <row r="50">
      <c r="A50" t="str">
        <v>Chicago Blackhawks</v>
      </c>
      <c r="B50" t="str">
        <v>C1</v>
      </c>
      <c r="C50">
        <v>27</v>
      </c>
      <c r="D50">
        <v>58</v>
      </c>
      <c r="E50">
        <f>C50+D50</f>
      </c>
      <c r="F50">
        <v>26</v>
      </c>
    </row>
    <row r="51">
      <c r="A51" t="str">
        <v>Chicago Blackhawks</v>
      </c>
      <c r="B51" t="str">
        <v>W1</v>
      </c>
      <c r="C51">
        <v>30</v>
      </c>
      <c r="D51">
        <v>27</v>
      </c>
      <c r="E51">
        <f>C51+D51</f>
      </c>
      <c r="F51">
        <v>16</v>
      </c>
    </row>
    <row r="52">
      <c r="A52" t="str">
        <v>Chicago Blackhawks</v>
      </c>
      <c r="B52" t="str">
        <v>D1</v>
      </c>
      <c r="C52">
        <v>8</v>
      </c>
      <c r="D52">
        <v>29</v>
      </c>
      <c r="E52">
        <f>C52+D52</f>
      </c>
      <c r="F52">
        <v>12</v>
      </c>
    </row>
    <row r="53">
      <c r="A53" t="str">
        <v>Colorado Avalanche</v>
      </c>
      <c r="B53" t="str">
        <v>C1</v>
      </c>
      <c r="C53">
        <v>45</v>
      </c>
      <c r="D53">
        <v>51</v>
      </c>
      <c r="E53">
        <f>C53+D53</f>
      </c>
      <c r="F53">
        <v>-2</v>
      </c>
    </row>
    <row r="54">
      <c r="A54" t="str">
        <v>Colorado Avalanche</v>
      </c>
      <c r="B54" t="str">
        <v>W1</v>
      </c>
      <c r="C54">
        <v>19</v>
      </c>
      <c r="D54">
        <v>25</v>
      </c>
      <c r="E54">
        <f>C54+D54</f>
      </c>
      <c r="F54">
        <v>0</v>
      </c>
    </row>
    <row r="55">
      <c r="A55" t="str">
        <v>Colorado Avalanche</v>
      </c>
      <c r="B55" t="str">
        <v>D1</v>
      </c>
      <c r="C55">
        <v>16</v>
      </c>
      <c r="D55">
        <v>49</v>
      </c>
      <c r="E55">
        <f>C55+D55</f>
      </c>
      <c r="F55">
        <v>22</v>
      </c>
    </row>
    <row r="56">
      <c r="A56" t="str">
        <v>Dallas Stars</v>
      </c>
      <c r="B56" t="str">
        <v>C1</v>
      </c>
      <c r="C56">
        <v>25</v>
      </c>
      <c r="D56">
        <v>38</v>
      </c>
      <c r="E56">
        <f>C56+D56</f>
      </c>
      <c r="F56">
        <v>9</v>
      </c>
    </row>
    <row r="57">
      <c r="A57" t="str">
        <v>Dallas Stars</v>
      </c>
      <c r="B57" t="str">
        <v>W1</v>
      </c>
      <c r="C57">
        <v>16</v>
      </c>
      <c r="D57">
        <v>34</v>
      </c>
      <c r="E57">
        <f>C57+D57</f>
      </c>
      <c r="F57">
        <v>-7</v>
      </c>
    </row>
    <row r="58">
      <c r="A58" t="str">
        <v>Dallas Stars</v>
      </c>
      <c r="B58" t="str">
        <v>D1</v>
      </c>
      <c r="C58">
        <v>5</v>
      </c>
      <c r="D58">
        <v>49</v>
      </c>
      <c r="E58">
        <f>C58+D58</f>
      </c>
      <c r="F58">
        <v>4</v>
      </c>
    </row>
    <row r="59">
      <c r="A59" t="str">
        <v>Minnesota Wild</v>
      </c>
      <c r="B59" t="str">
        <v>C1</v>
      </c>
      <c r="C59">
        <v>22</v>
      </c>
      <c r="D59">
        <v>57</v>
      </c>
      <c r="E59">
        <f>C59+D59</f>
      </c>
      <c r="F59">
        <v>-9</v>
      </c>
    </row>
    <row r="60">
      <c r="A60" t="str">
        <v>Minnesota Wild</v>
      </c>
      <c r="B60" t="str">
        <v>W1</v>
      </c>
      <c r="C60">
        <v>22</v>
      </c>
      <c r="D60">
        <v>24</v>
      </c>
      <c r="E60">
        <f>C60+D60</f>
      </c>
      <c r="F60">
        <v>22</v>
      </c>
    </row>
    <row r="61">
      <c r="A61" t="str">
        <v>Minnesota Wild</v>
      </c>
      <c r="B61" t="str">
        <v>D1</v>
      </c>
      <c r="C61">
        <v>9</v>
      </c>
      <c r="D61">
        <v>39</v>
      </c>
      <c r="E61">
        <f>C61+D61</f>
      </c>
      <c r="F61">
        <v>11</v>
      </c>
    </row>
    <row r="62">
      <c r="A62" t="str">
        <v>Nashville Predators</v>
      </c>
      <c r="B62" t="str">
        <v>C1</v>
      </c>
      <c r="C62">
        <v>43</v>
      </c>
      <c r="D62">
        <v>35</v>
      </c>
      <c r="E62">
        <f>C62+D62</f>
      </c>
      <c r="F62">
        <v>28</v>
      </c>
    </row>
    <row r="63">
      <c r="A63" t="str">
        <v>Nashville Predators</v>
      </c>
      <c r="B63" t="str">
        <v>W1</v>
      </c>
      <c r="C63">
        <v>28</v>
      </c>
      <c r="D63">
        <v>42</v>
      </c>
      <c r="E63">
        <f>C63+D63</f>
      </c>
      <c r="F63">
        <v>22</v>
      </c>
    </row>
    <row r="64">
      <c r="A64" t="str">
        <v>Nashville Predators</v>
      </c>
      <c r="B64" t="str">
        <v>D1</v>
      </c>
      <c r="C64">
        <v>5</v>
      </c>
      <c r="D64">
        <v>25</v>
      </c>
      <c r="E64">
        <f>C64+D64</f>
      </c>
      <c r="F64">
        <v>8</v>
      </c>
    </row>
    <row r="65">
      <c r="A65" t="str">
        <v>St. Louis Blues</v>
      </c>
      <c r="B65" t="str">
        <v>C1</v>
      </c>
      <c r="C65">
        <v>42</v>
      </c>
      <c r="D65">
        <v>52</v>
      </c>
      <c r="E65">
        <f>C65+D65</f>
      </c>
      <c r="F65">
        <v>17</v>
      </c>
    </row>
    <row r="66">
      <c r="A66" t="str">
        <v>St. Louis Blues</v>
      </c>
      <c r="B66" t="str">
        <v>W1</v>
      </c>
      <c r="C66">
        <v>16</v>
      </c>
      <c r="D66">
        <v>24</v>
      </c>
      <c r="E66">
        <f>C66+D66</f>
      </c>
      <c r="F66">
        <v>16</v>
      </c>
    </row>
    <row r="67">
      <c r="A67" t="str">
        <v>St. Louis Blues</v>
      </c>
      <c r="B67" t="str">
        <v>D1</v>
      </c>
      <c r="C67">
        <v>14</v>
      </c>
      <c r="D67">
        <v>53</v>
      </c>
      <c r="E67">
        <f>C67+D67</f>
      </c>
      <c r="F67">
        <v>-1</v>
      </c>
    </row>
    <row r="68">
      <c r="A68" t="str">
        <v>Utah Mammoth</v>
      </c>
      <c r="B68" t="str">
        <v>C1</v>
      </c>
      <c r="C68">
        <v>28</v>
      </c>
      <c r="D68">
        <v>48</v>
      </c>
      <c r="E68">
        <f>C68+D68</f>
      </c>
      <c r="F68">
        <v>-4</v>
      </c>
    </row>
    <row r="69">
      <c r="A69" t="str">
        <v>Utah Mammoth</v>
      </c>
      <c r="B69" t="str">
        <v>W1</v>
      </c>
      <c r="C69">
        <v>16</v>
      </c>
      <c r="D69">
        <v>41</v>
      </c>
      <c r="E69">
        <f>C69+D69</f>
      </c>
      <c r="F69">
        <v>9</v>
      </c>
    </row>
    <row r="70">
      <c r="A70" t="str">
        <v>Utah Mammoth</v>
      </c>
      <c r="B70" t="str">
        <v>D1</v>
      </c>
      <c r="C70">
        <v>6</v>
      </c>
      <c r="D70">
        <v>54</v>
      </c>
      <c r="E70">
        <f>C70+D70</f>
      </c>
      <c r="F70">
        <v>1</v>
      </c>
    </row>
    <row r="71">
      <c r="A71" t="str">
        <v>Winnipeg Jets</v>
      </c>
      <c r="B71" t="str">
        <v>C1</v>
      </c>
      <c r="C71">
        <v>26</v>
      </c>
      <c r="D71">
        <v>47</v>
      </c>
      <c r="E71">
        <f>C71+D71</f>
      </c>
      <c r="F71">
        <v>2</v>
      </c>
    </row>
    <row r="72">
      <c r="A72" t="str">
        <v>Winnipeg Jets</v>
      </c>
      <c r="B72" t="str">
        <v>W1</v>
      </c>
      <c r="C72">
        <v>17</v>
      </c>
      <c r="D72">
        <v>44</v>
      </c>
      <c r="E72">
        <f>C72+D72</f>
      </c>
      <c r="F72">
        <v>2</v>
      </c>
    </row>
    <row r="73">
      <c r="A73" t="str">
        <v>Winnipeg Jets</v>
      </c>
      <c r="B73" t="str">
        <v>D1</v>
      </c>
      <c r="C73">
        <v>11</v>
      </c>
      <c r="D73">
        <v>30</v>
      </c>
      <c r="E73">
        <f>C73+D73</f>
      </c>
      <c r="F73">
        <v>11</v>
      </c>
    </row>
    <row r="74">
      <c r="A74" t="str">
        <v>Anaheim Ducks</v>
      </c>
      <c r="B74" t="str">
        <v>C1</v>
      </c>
      <c r="C74">
        <v>27</v>
      </c>
      <c r="D74">
        <v>42</v>
      </c>
      <c r="E74">
        <f>C74+D74</f>
      </c>
      <c r="F74">
        <v>24</v>
      </c>
    </row>
    <row r="75">
      <c r="A75" t="str">
        <v>Anaheim Ducks</v>
      </c>
      <c r="B75" t="str">
        <v>W1</v>
      </c>
      <c r="C75">
        <v>27</v>
      </c>
      <c r="D75">
        <v>35</v>
      </c>
      <c r="E75">
        <f>C75+D75</f>
      </c>
      <c r="F75">
        <v>11</v>
      </c>
    </row>
    <row r="76">
      <c r="A76" t="str">
        <v>Anaheim Ducks</v>
      </c>
      <c r="B76" t="str">
        <v>D1</v>
      </c>
      <c r="C76">
        <v>8</v>
      </c>
      <c r="D76">
        <v>20</v>
      </c>
      <c r="E76">
        <f>C76+D76</f>
      </c>
      <c r="F76">
        <v>12</v>
      </c>
    </row>
    <row r="77">
      <c r="A77" t="str">
        <v>Calgary Flames</v>
      </c>
      <c r="B77" t="str">
        <v>C1</v>
      </c>
      <c r="C77">
        <v>26</v>
      </c>
      <c r="D77">
        <v>49</v>
      </c>
      <c r="E77">
        <f>C77+D77</f>
      </c>
      <c r="F77">
        <v>11</v>
      </c>
    </row>
    <row r="78">
      <c r="A78" t="str">
        <v>Calgary Flames</v>
      </c>
      <c r="B78" t="str">
        <v>W1</v>
      </c>
      <c r="C78">
        <v>29</v>
      </c>
      <c r="D78">
        <v>34</v>
      </c>
      <c r="E78">
        <f>C78+D78</f>
      </c>
      <c r="F78">
        <v>11</v>
      </c>
    </row>
    <row r="79">
      <c r="A79" t="str">
        <v>Calgary Flames</v>
      </c>
      <c r="B79" t="str">
        <v>D1</v>
      </c>
      <c r="C79">
        <v>7</v>
      </c>
      <c r="D79">
        <v>28</v>
      </c>
      <c r="E79">
        <f>C79+D79</f>
      </c>
      <c r="F79">
        <v>0</v>
      </c>
    </row>
    <row r="80">
      <c r="A80" t="str">
        <v>Edmonton Oilers</v>
      </c>
      <c r="B80" t="str">
        <v>C1</v>
      </c>
      <c r="C80">
        <v>45</v>
      </c>
      <c r="D80">
        <v>25</v>
      </c>
      <c r="E80">
        <f>C80+D80</f>
      </c>
      <c r="F80">
        <v>12</v>
      </c>
    </row>
    <row r="81">
      <c r="A81" t="str">
        <v>Edmonton Oilers</v>
      </c>
      <c r="B81" t="str">
        <v>W1</v>
      </c>
      <c r="C81">
        <v>18</v>
      </c>
      <c r="D81">
        <v>26</v>
      </c>
      <c r="E81">
        <f>C81+D81</f>
      </c>
      <c r="F81">
        <v>-1</v>
      </c>
    </row>
    <row r="82">
      <c r="A82" t="str">
        <v>Edmonton Oilers</v>
      </c>
      <c r="B82" t="str">
        <v>D1</v>
      </c>
      <c r="C82">
        <v>7</v>
      </c>
      <c r="D82">
        <v>50</v>
      </c>
      <c r="E82">
        <f>C82+D82</f>
      </c>
      <c r="F82">
        <v>21</v>
      </c>
    </row>
    <row r="83">
      <c r="A83" t="str">
        <v>Los Angeles Kings</v>
      </c>
      <c r="B83" t="str">
        <v>C1</v>
      </c>
      <c r="C83">
        <v>18</v>
      </c>
      <c r="D83">
        <v>28</v>
      </c>
      <c r="E83">
        <f>C83+D83</f>
      </c>
      <c r="F83">
        <v>3</v>
      </c>
    </row>
    <row r="84">
      <c r="A84" t="str">
        <v>Los Angeles Kings</v>
      </c>
      <c r="B84" t="str">
        <v>W1</v>
      </c>
      <c r="C84">
        <v>22</v>
      </c>
      <c r="D84">
        <v>29</v>
      </c>
      <c r="E84">
        <f>C84+D84</f>
      </c>
      <c r="F84">
        <v>-8</v>
      </c>
    </row>
    <row r="85">
      <c r="A85" t="str">
        <v>Los Angeles Kings</v>
      </c>
      <c r="B85" t="str">
        <v>D1</v>
      </c>
      <c r="C85">
        <v>6</v>
      </c>
      <c r="D85">
        <v>51</v>
      </c>
      <c r="E85">
        <f>C85+D85</f>
      </c>
      <c r="F85">
        <v>4</v>
      </c>
    </row>
    <row r="86">
      <c r="A86" t="str">
        <v>San Jose Sharks</v>
      </c>
      <c r="B86" t="str">
        <v>C1</v>
      </c>
      <c r="C86">
        <v>42</v>
      </c>
      <c r="D86">
        <v>51</v>
      </c>
      <c r="E86">
        <f>C86+D86</f>
      </c>
      <c r="F86">
        <v>21</v>
      </c>
    </row>
    <row r="87">
      <c r="A87" t="str">
        <v>San Jose Sharks</v>
      </c>
      <c r="B87" t="str">
        <v>W1</v>
      </c>
      <c r="C87">
        <v>29</v>
      </c>
      <c r="D87">
        <v>44</v>
      </c>
      <c r="E87">
        <f>C87+D87</f>
      </c>
      <c r="F87">
        <v>12</v>
      </c>
    </row>
    <row r="88">
      <c r="A88" t="str">
        <v>San Jose Sharks</v>
      </c>
      <c r="B88" t="str">
        <v>D1</v>
      </c>
      <c r="C88">
        <v>11</v>
      </c>
      <c r="D88">
        <v>20</v>
      </c>
      <c r="E88">
        <f>C88+D88</f>
      </c>
      <c r="F88">
        <v>6</v>
      </c>
    </row>
    <row r="89">
      <c r="A89" t="str">
        <v>Seattle Kraken</v>
      </c>
      <c r="B89" t="str">
        <v>C1</v>
      </c>
      <c r="C89">
        <v>22</v>
      </c>
      <c r="D89">
        <v>38</v>
      </c>
      <c r="E89">
        <f>C89+D89</f>
      </c>
      <c r="F89">
        <v>15</v>
      </c>
    </row>
    <row r="90">
      <c r="A90" t="str">
        <v>Seattle Kraken</v>
      </c>
      <c r="B90" t="str">
        <v>W1</v>
      </c>
      <c r="C90">
        <v>32</v>
      </c>
      <c r="D90">
        <v>36</v>
      </c>
      <c r="E90">
        <f>C90+D90</f>
      </c>
      <c r="F90">
        <v>0</v>
      </c>
    </row>
    <row r="91">
      <c r="A91" t="str">
        <v>Seattle Kraken</v>
      </c>
      <c r="B91" t="str">
        <v>D1</v>
      </c>
      <c r="C91">
        <v>7</v>
      </c>
      <c r="D91">
        <v>44</v>
      </c>
      <c r="E91">
        <f>C91+D91</f>
      </c>
      <c r="F91">
        <v>21</v>
      </c>
    </row>
    <row r="92">
      <c r="A92" t="str">
        <v>Vancouver Canucks</v>
      </c>
      <c r="B92" t="str">
        <v>C1</v>
      </c>
      <c r="C92">
        <v>24</v>
      </c>
      <c r="D92">
        <v>54</v>
      </c>
      <c r="E92">
        <f>C92+D92</f>
      </c>
      <c r="F92">
        <v>-2</v>
      </c>
    </row>
    <row r="93">
      <c r="A93" t="str">
        <v>Vancouver Canucks</v>
      </c>
      <c r="B93" t="str">
        <v>W1</v>
      </c>
      <c r="C93">
        <v>33</v>
      </c>
      <c r="D93">
        <v>19</v>
      </c>
      <c r="E93">
        <f>C93+D93</f>
      </c>
      <c r="F93">
        <v>18</v>
      </c>
    </row>
    <row r="94">
      <c r="A94" t="str">
        <v>Vancouver Canucks</v>
      </c>
      <c r="B94" t="str">
        <v>D1</v>
      </c>
      <c r="C94">
        <v>12</v>
      </c>
      <c r="D94">
        <v>40</v>
      </c>
      <c r="E94">
        <f>C94+D94</f>
      </c>
      <c r="F94">
        <v>4</v>
      </c>
    </row>
    <row r="95">
      <c r="A95" t="str">
        <v>Vegas Golden Knights</v>
      </c>
      <c r="B95" t="str">
        <v>C1</v>
      </c>
      <c r="C95">
        <v>41</v>
      </c>
      <c r="D95">
        <v>43</v>
      </c>
      <c r="E95">
        <f>C95+D95</f>
      </c>
      <c r="F95">
        <v>4</v>
      </c>
    </row>
    <row r="96">
      <c r="A96" t="str">
        <v>Vegas Golden Knights</v>
      </c>
      <c r="B96" t="str">
        <v>W1</v>
      </c>
      <c r="C96">
        <v>17</v>
      </c>
      <c r="D96">
        <v>19</v>
      </c>
      <c r="E96">
        <f>C96+D96</f>
      </c>
      <c r="F96">
        <v>-3</v>
      </c>
    </row>
    <row r="97">
      <c r="A97" t="str">
        <v>Vegas Golden Knights</v>
      </c>
      <c r="B97" t="str">
        <v>D1</v>
      </c>
      <c r="C97">
        <v>13</v>
      </c>
      <c r="D97">
        <v>53</v>
      </c>
      <c r="E97">
        <f>C97+D97</f>
      </c>
      <c r="F97">
        <v>5</v>
      </c>
    </row>
  </sheetData>
  <autoFilter ref="A1:F97"/>
  <ignoredErrors>
    <ignoredError numberStoredAsText="1" sqref="A1:F9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cols>
    <col min="1" max="1" width="22.83203125" customWidth="1"/>
    <col min="2" max="2" width="10.83203125" customWidth="1"/>
    <col min="3" max="3" width="7.83203125" customWidth="1"/>
    <col min="4" max="4" width="6.83203125" customWidth="1"/>
    <col min="5" max="5" width="7.83203125" customWidth="1"/>
    <col min="6" max="6" width="8.83203125" customWidth="1"/>
    <col min="7" max="7" width="7.83203125" customWidth="1"/>
    <col min="8" max="8" width="8.83203125" customWidth="1"/>
    <col min="9" max="9" width="8.83203125" customWidth="1"/>
  </cols>
  <sheetData>
    <row r="1">
      <c r="A1" t="str">
        <v>Team</v>
      </c>
      <c r="B1" t="str">
        <v>Conference</v>
      </c>
      <c r="C1" t="str">
        <v>Games</v>
      </c>
      <c r="D1" t="str">
        <v>Wins</v>
      </c>
      <c r="E1" t="str">
        <v>Losses</v>
      </c>
      <c r="F1" t="str">
        <v>Win %</v>
      </c>
      <c r="G1" t="str">
        <v>PPG</v>
      </c>
      <c r="H1" t="str">
        <v>Opp PPG</v>
      </c>
      <c r="I1" t="str">
        <v>Net Rtg</v>
      </c>
    </row>
    <row r="2">
      <c r="A2" t="str">
        <v>Atlanta Dream</v>
      </c>
      <c r="B2" t="str">
        <v>East</v>
      </c>
      <c r="C2">
        <v>40</v>
      </c>
      <c r="D2">
        <v>23</v>
      </c>
      <c r="E2">
        <f>C2-D2</f>
      </c>
      <c r="F2" s="1">
        <f>D2/C2</f>
      </c>
      <c r="G2">
        <v>78</v>
      </c>
      <c r="H2">
        <v>84.3</v>
      </c>
      <c r="I2">
        <f>G2-H2</f>
      </c>
    </row>
    <row r="3">
      <c r="A3" t="str">
        <v>Chicago Sky</v>
      </c>
      <c r="B3" t="str">
        <v>East</v>
      </c>
      <c r="C3">
        <v>40</v>
      </c>
      <c r="D3">
        <v>31</v>
      </c>
      <c r="E3">
        <f>C3-D3</f>
      </c>
      <c r="F3" s="1">
        <f>D3/C3</f>
      </c>
      <c r="G3">
        <v>87.8</v>
      </c>
      <c r="H3">
        <v>78.6</v>
      </c>
      <c r="I3">
        <f>G3-H3</f>
      </c>
    </row>
    <row r="4">
      <c r="A4" t="str">
        <v>Connecticut Sun</v>
      </c>
      <c r="B4" t="str">
        <v>East</v>
      </c>
      <c r="C4">
        <v>40</v>
      </c>
      <c r="D4">
        <v>27</v>
      </c>
      <c r="E4">
        <f>C4-D4</f>
      </c>
      <c r="F4" s="1">
        <f>D4/C4</f>
      </c>
      <c r="G4">
        <v>84.4</v>
      </c>
      <c r="H4">
        <v>78.1</v>
      </c>
      <c r="I4">
        <f>G4-H4</f>
      </c>
    </row>
    <row r="5">
      <c r="A5" t="str">
        <v>Indiana Fever</v>
      </c>
      <c r="B5" t="str">
        <v>East</v>
      </c>
      <c r="C5">
        <v>40</v>
      </c>
      <c r="D5">
        <v>18</v>
      </c>
      <c r="E5">
        <f>C5-D5</f>
      </c>
      <c r="F5" s="1">
        <f>D5/C5</f>
      </c>
      <c r="G5">
        <v>81.2</v>
      </c>
      <c r="H5">
        <v>84.3</v>
      </c>
      <c r="I5">
        <f>G5-H5</f>
      </c>
    </row>
    <row r="6">
      <c r="A6" t="str">
        <v>New York Liberty</v>
      </c>
      <c r="B6" t="str">
        <v>East</v>
      </c>
      <c r="C6">
        <v>40</v>
      </c>
      <c r="D6">
        <v>30</v>
      </c>
      <c r="E6">
        <f>C6-D6</f>
      </c>
      <c r="F6" s="1">
        <f>D6/C6</f>
      </c>
      <c r="G6">
        <v>80.3</v>
      </c>
      <c r="H6">
        <v>83.6</v>
      </c>
      <c r="I6">
        <f>G6-H6</f>
      </c>
    </row>
    <row r="7">
      <c r="A7" t="str">
        <v>Toronto Tempo</v>
      </c>
      <c r="B7" t="str">
        <v>East</v>
      </c>
      <c r="C7">
        <v>40</v>
      </c>
      <c r="D7">
        <v>24</v>
      </c>
      <c r="E7">
        <f>C7-D7</f>
      </c>
      <c r="F7" s="1">
        <f>D7/C7</f>
      </c>
      <c r="G7">
        <v>80.8</v>
      </c>
      <c r="H7">
        <v>78.6</v>
      </c>
      <c r="I7">
        <f>G7-H7</f>
      </c>
    </row>
    <row r="8">
      <c r="A8" t="str">
        <v>Washington Mystics</v>
      </c>
      <c r="B8" t="str">
        <v>East</v>
      </c>
      <c r="C8">
        <v>40</v>
      </c>
      <c r="D8">
        <v>22</v>
      </c>
      <c r="E8">
        <f>C8-D8</f>
      </c>
      <c r="F8" s="1">
        <f>D8/C8</f>
      </c>
      <c r="G8">
        <v>75.8</v>
      </c>
      <c r="H8">
        <v>82.5</v>
      </c>
      <c r="I8">
        <f>G8-H8</f>
      </c>
    </row>
    <row r="9">
      <c r="A9" t="str">
        <v>Dallas Wings</v>
      </c>
      <c r="B9" t="str">
        <v>West</v>
      </c>
      <c r="C9">
        <v>40</v>
      </c>
      <c r="D9">
        <v>24</v>
      </c>
      <c r="E9">
        <f>C9-D9</f>
      </c>
      <c r="F9" s="1">
        <f>D9/C9</f>
      </c>
      <c r="G9">
        <v>75.4</v>
      </c>
      <c r="H9">
        <v>75.7</v>
      </c>
      <c r="I9">
        <f>G9-H9</f>
      </c>
    </row>
    <row r="10">
      <c r="A10" t="str">
        <v>Golden State Valkyries</v>
      </c>
      <c r="B10" t="str">
        <v>West</v>
      </c>
      <c r="C10">
        <v>40</v>
      </c>
      <c r="D10">
        <v>30</v>
      </c>
      <c r="E10">
        <f>C10-D10</f>
      </c>
      <c r="F10" s="1">
        <f>D10/C10</f>
      </c>
      <c r="G10">
        <v>75.4</v>
      </c>
      <c r="H10">
        <v>78</v>
      </c>
      <c r="I10">
        <f>G10-H10</f>
      </c>
    </row>
    <row r="11">
      <c r="A11" t="str">
        <v>Las Vegas Aces</v>
      </c>
      <c r="B11" t="str">
        <v>West</v>
      </c>
      <c r="C11">
        <v>40</v>
      </c>
      <c r="D11">
        <v>8</v>
      </c>
      <c r="E11">
        <f>C11-D11</f>
      </c>
      <c r="F11" s="1">
        <f>D11/C11</f>
      </c>
      <c r="G11">
        <v>82.3</v>
      </c>
      <c r="H11">
        <v>75.6</v>
      </c>
      <c r="I11">
        <f>G11-H11</f>
      </c>
    </row>
    <row r="12">
      <c r="A12" t="str">
        <v>Los Angeles Sparks</v>
      </c>
      <c r="B12" t="str">
        <v>West</v>
      </c>
      <c r="C12">
        <v>40</v>
      </c>
      <c r="D12">
        <v>24</v>
      </c>
      <c r="E12">
        <f>C12-D12</f>
      </c>
      <c r="F12" s="1">
        <f>D12/C12</f>
      </c>
      <c r="G12">
        <v>74.8</v>
      </c>
      <c r="H12">
        <v>80.9</v>
      </c>
      <c r="I12">
        <f>G12-H12</f>
      </c>
    </row>
    <row r="13">
      <c r="A13" t="str">
        <v>Minnesota Lynx</v>
      </c>
      <c r="B13" t="str">
        <v>West</v>
      </c>
      <c r="C13">
        <v>40</v>
      </c>
      <c r="D13">
        <v>10</v>
      </c>
      <c r="E13">
        <f>C13-D13</f>
      </c>
      <c r="F13" s="1">
        <f>D13/C13</f>
      </c>
      <c r="G13">
        <v>81.4</v>
      </c>
      <c r="H13">
        <v>76.2</v>
      </c>
      <c r="I13">
        <f>G13-H13</f>
      </c>
    </row>
    <row r="14">
      <c r="A14" t="str">
        <v>Phoenix Mercury</v>
      </c>
      <c r="B14" t="str">
        <v>West</v>
      </c>
      <c r="C14">
        <v>40</v>
      </c>
      <c r="D14">
        <v>31</v>
      </c>
      <c r="E14">
        <f>C14-D14</f>
      </c>
      <c r="F14" s="1">
        <f>D14/C14</f>
      </c>
      <c r="G14">
        <v>86.1</v>
      </c>
      <c r="H14">
        <v>85.7</v>
      </c>
      <c r="I14">
        <f>G14-H14</f>
      </c>
    </row>
    <row r="15">
      <c r="A15" t="str">
        <v>Portland Fire</v>
      </c>
      <c r="B15" t="str">
        <v>West</v>
      </c>
      <c r="C15">
        <v>40</v>
      </c>
      <c r="D15">
        <v>10</v>
      </c>
      <c r="E15">
        <f>C15-D15</f>
      </c>
      <c r="F15" s="1">
        <f>D15/C15</f>
      </c>
      <c r="G15">
        <v>81.4</v>
      </c>
      <c r="H15">
        <v>85.2</v>
      </c>
      <c r="I15">
        <f>G15-H15</f>
      </c>
    </row>
    <row r="16">
      <c r="A16" t="str">
        <v>Seattle Storm</v>
      </c>
      <c r="B16" t="str">
        <v>West</v>
      </c>
      <c r="C16">
        <v>40</v>
      </c>
      <c r="D16">
        <v>22</v>
      </c>
      <c r="E16">
        <f>C16-D16</f>
      </c>
      <c r="F16" s="1">
        <f>D16/C16</f>
      </c>
      <c r="G16">
        <v>86</v>
      </c>
      <c r="H16">
        <v>77.5</v>
      </c>
      <c r="I16">
        <f>G16-H16</f>
      </c>
    </row>
  </sheetData>
  <autoFilter ref="A1:I16"/>
  <ignoredErrors>
    <ignoredError numberStoredAsText="1" sqref="A1:I1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cols>
    <col min="1" max="1" width="22.83203125" customWidth="1"/>
    <col min="2" max="2" width="7.83203125" customWidth="1"/>
    <col min="3" max="3" width="7.83203125" customWidth="1"/>
    <col min="4" max="4" width="7.83203125" customWidth="1"/>
    <col min="5" max="5" width="7.83203125" customWidth="1"/>
    <col min="6" max="6" width="7.83203125" customWidth="1"/>
  </cols>
  <sheetData>
    <row r="1">
      <c r="A1" t="str">
        <v>Team</v>
      </c>
      <c r="B1" t="str">
        <v>Slot</v>
      </c>
      <c r="C1" t="str">
        <v>PPG</v>
      </c>
      <c r="D1" t="str">
        <v>RPG</v>
      </c>
      <c r="E1" t="str">
        <v>APG</v>
      </c>
      <c r="F1" t="str">
        <v>3P %</v>
      </c>
    </row>
    <row r="2">
      <c r="A2" t="str">
        <v>Atlanta Dream</v>
      </c>
      <c r="B2" t="str">
        <v>PG1</v>
      </c>
      <c r="C2">
        <v>15.6</v>
      </c>
      <c r="D2">
        <v>4.8</v>
      </c>
      <c r="E2">
        <v>5.9</v>
      </c>
      <c r="F2" s="1">
        <v>0.303</v>
      </c>
    </row>
    <row r="3">
      <c r="A3" t="str">
        <v>Atlanta Dream</v>
      </c>
      <c r="B3" t="str">
        <v>Wing1</v>
      </c>
      <c r="C3">
        <v>11.7</v>
      </c>
      <c r="D3">
        <v>6.7</v>
      </c>
      <c r="E3">
        <v>2.9</v>
      </c>
      <c r="F3" s="1">
        <v>0.395</v>
      </c>
    </row>
    <row r="4">
      <c r="A4" t="str">
        <v>Atlanta Dream</v>
      </c>
      <c r="B4" t="str">
        <v>Big1</v>
      </c>
      <c r="C4">
        <v>18.4</v>
      </c>
      <c r="D4">
        <v>11.3</v>
      </c>
      <c r="E4">
        <v>3.1</v>
      </c>
      <c r="F4" s="1">
        <v>0.29</v>
      </c>
    </row>
    <row r="5">
      <c r="A5" t="str">
        <v>Chicago Sky</v>
      </c>
      <c r="B5" t="str">
        <v>PG1</v>
      </c>
      <c r="C5">
        <v>16.7</v>
      </c>
      <c r="D5">
        <v>3.9</v>
      </c>
      <c r="E5">
        <v>5.6</v>
      </c>
      <c r="F5" s="1">
        <v>0.301</v>
      </c>
    </row>
    <row r="6">
      <c r="A6" t="str">
        <v>Chicago Sky</v>
      </c>
      <c r="B6" t="str">
        <v>Wing1</v>
      </c>
      <c r="C6">
        <v>19.6</v>
      </c>
      <c r="D6">
        <v>5.8</v>
      </c>
      <c r="E6">
        <v>3.1</v>
      </c>
      <c r="F6" s="1">
        <v>0.349</v>
      </c>
    </row>
    <row r="7">
      <c r="A7" t="str">
        <v>Chicago Sky</v>
      </c>
      <c r="B7" t="str">
        <v>Big1</v>
      </c>
      <c r="C7">
        <v>10.4</v>
      </c>
      <c r="D7">
        <v>12.8</v>
      </c>
      <c r="E7">
        <v>2.4</v>
      </c>
      <c r="F7" s="1">
        <v>0.131</v>
      </c>
    </row>
    <row r="8">
      <c r="A8" t="str">
        <v>Connecticut Sun</v>
      </c>
      <c r="B8" t="str">
        <v>PG1</v>
      </c>
      <c r="C8">
        <v>13.8</v>
      </c>
      <c r="D8">
        <v>4.1</v>
      </c>
      <c r="E8">
        <v>7</v>
      </c>
      <c r="F8" s="1">
        <v>0.345</v>
      </c>
    </row>
    <row r="9">
      <c r="A9" t="str">
        <v>Connecticut Sun</v>
      </c>
      <c r="B9" t="str">
        <v>Wing1</v>
      </c>
      <c r="C9">
        <v>22.7</v>
      </c>
      <c r="D9">
        <v>3.5</v>
      </c>
      <c r="E9">
        <v>4.6</v>
      </c>
      <c r="F9" s="1">
        <v>0.385</v>
      </c>
    </row>
    <row r="10">
      <c r="A10" t="str">
        <v>Connecticut Sun</v>
      </c>
      <c r="B10" t="str">
        <v>Big1</v>
      </c>
      <c r="C10">
        <v>19.5</v>
      </c>
      <c r="D10">
        <v>12.9</v>
      </c>
      <c r="E10">
        <v>2.4</v>
      </c>
      <c r="F10" s="1">
        <v>0.123</v>
      </c>
    </row>
    <row r="11">
      <c r="A11" t="str">
        <v>Indiana Fever</v>
      </c>
      <c r="B11" t="str">
        <v>PG1</v>
      </c>
      <c r="C11">
        <v>10.6</v>
      </c>
      <c r="D11">
        <v>2.9</v>
      </c>
      <c r="E11">
        <v>6.4</v>
      </c>
      <c r="F11" s="1">
        <v>0.314</v>
      </c>
    </row>
    <row r="12">
      <c r="A12" t="str">
        <v>Indiana Fever</v>
      </c>
      <c r="B12" t="str">
        <v>Wing1</v>
      </c>
      <c r="C12">
        <v>21.1</v>
      </c>
      <c r="D12">
        <v>5</v>
      </c>
      <c r="E12">
        <v>4</v>
      </c>
      <c r="F12" s="1">
        <v>0.391</v>
      </c>
    </row>
    <row r="13">
      <c r="A13" t="str">
        <v>Indiana Fever</v>
      </c>
      <c r="B13" t="str">
        <v>Big1</v>
      </c>
      <c r="C13">
        <v>18.7</v>
      </c>
      <c r="D13">
        <v>9.6</v>
      </c>
      <c r="E13">
        <v>1.2</v>
      </c>
      <c r="F13" s="1">
        <v>0.044</v>
      </c>
    </row>
    <row r="14">
      <c r="A14" t="str">
        <v>New York Liberty</v>
      </c>
      <c r="B14" t="str">
        <v>PG1</v>
      </c>
      <c r="C14">
        <v>21.6</v>
      </c>
      <c r="D14">
        <v>5</v>
      </c>
      <c r="E14">
        <v>8</v>
      </c>
      <c r="F14" s="1">
        <v>0.31</v>
      </c>
    </row>
    <row r="15">
      <c r="A15" t="str">
        <v>New York Liberty</v>
      </c>
      <c r="B15" t="str">
        <v>Wing1</v>
      </c>
      <c r="C15">
        <v>17.9</v>
      </c>
      <c r="D15">
        <v>3.7</v>
      </c>
      <c r="E15">
        <v>3.5</v>
      </c>
      <c r="F15" s="1">
        <v>0.362</v>
      </c>
    </row>
    <row r="16">
      <c r="A16" t="str">
        <v>New York Liberty</v>
      </c>
      <c r="B16" t="str">
        <v>Big1</v>
      </c>
      <c r="C16">
        <v>9.1</v>
      </c>
      <c r="D16">
        <v>6.6</v>
      </c>
      <c r="E16">
        <v>2</v>
      </c>
      <c r="F16" s="1">
        <v>0.197</v>
      </c>
    </row>
    <row r="17">
      <c r="A17" t="str">
        <v>Toronto Tempo</v>
      </c>
      <c r="B17" t="str">
        <v>PG1</v>
      </c>
      <c r="C17">
        <v>14.6</v>
      </c>
      <c r="D17">
        <v>4</v>
      </c>
      <c r="E17">
        <v>8.8</v>
      </c>
      <c r="F17" s="1">
        <v>0.3</v>
      </c>
    </row>
    <row r="18">
      <c r="A18" t="str">
        <v>Toronto Tempo</v>
      </c>
      <c r="B18" t="str">
        <v>Wing1</v>
      </c>
      <c r="C18">
        <v>19.2</v>
      </c>
      <c r="D18">
        <v>5.3</v>
      </c>
      <c r="E18">
        <v>2.5</v>
      </c>
      <c r="F18" s="1">
        <v>0.359</v>
      </c>
    </row>
    <row r="19">
      <c r="A19" t="str">
        <v>Toronto Tempo</v>
      </c>
      <c r="B19" t="str">
        <v>Big1</v>
      </c>
      <c r="C19">
        <v>15.2</v>
      </c>
      <c r="D19">
        <v>9.4</v>
      </c>
      <c r="E19">
        <v>2.5</v>
      </c>
      <c r="F19" s="1">
        <v>0.055</v>
      </c>
    </row>
    <row r="20">
      <c r="A20" t="str">
        <v>Washington Mystics</v>
      </c>
      <c r="B20" t="str">
        <v>PG1</v>
      </c>
      <c r="C20">
        <v>16.5</v>
      </c>
      <c r="D20">
        <v>4.6</v>
      </c>
      <c r="E20">
        <v>8.8</v>
      </c>
      <c r="F20" s="1">
        <v>0.304</v>
      </c>
    </row>
    <row r="21">
      <c r="A21" t="str">
        <v>Washington Mystics</v>
      </c>
      <c r="B21" t="str">
        <v>Wing1</v>
      </c>
      <c r="C21">
        <v>18.6</v>
      </c>
      <c r="D21">
        <v>3.8</v>
      </c>
      <c r="E21">
        <v>3.5</v>
      </c>
      <c r="F21" s="1">
        <v>0.358</v>
      </c>
    </row>
    <row r="22">
      <c r="A22" t="str">
        <v>Washington Mystics</v>
      </c>
      <c r="B22" t="str">
        <v>Big1</v>
      </c>
      <c r="C22">
        <v>11.4</v>
      </c>
      <c r="D22">
        <v>6.7</v>
      </c>
      <c r="E22">
        <v>1.1</v>
      </c>
      <c r="F22" s="1">
        <v>0.031</v>
      </c>
    </row>
    <row r="23">
      <c r="A23" t="str">
        <v>Dallas Wings</v>
      </c>
      <c r="B23" t="str">
        <v>PG1</v>
      </c>
      <c r="C23">
        <v>10.2</v>
      </c>
      <c r="D23">
        <v>4.5</v>
      </c>
      <c r="E23">
        <v>5.6</v>
      </c>
      <c r="F23" s="1">
        <v>0.304</v>
      </c>
    </row>
    <row r="24">
      <c r="A24" t="str">
        <v>Dallas Wings</v>
      </c>
      <c r="B24" t="str">
        <v>Wing1</v>
      </c>
      <c r="C24">
        <v>17.8</v>
      </c>
      <c r="D24">
        <v>6.5</v>
      </c>
      <c r="E24">
        <v>2.6</v>
      </c>
      <c r="F24" s="1">
        <v>0.374</v>
      </c>
    </row>
    <row r="25">
      <c r="A25" t="str">
        <v>Dallas Wings</v>
      </c>
      <c r="B25" t="str">
        <v>Big1</v>
      </c>
      <c r="C25">
        <v>13.8</v>
      </c>
      <c r="D25">
        <v>9.2</v>
      </c>
      <c r="E25">
        <v>3.4</v>
      </c>
      <c r="F25" s="1">
        <v>0.197</v>
      </c>
    </row>
    <row r="26">
      <c r="A26" t="str">
        <v>Golden State Valkyries</v>
      </c>
      <c r="B26" t="str">
        <v>PG1</v>
      </c>
      <c r="C26">
        <v>12.1</v>
      </c>
      <c r="D26">
        <v>5.1</v>
      </c>
      <c r="E26">
        <v>5.7</v>
      </c>
      <c r="F26" s="1">
        <v>0.398</v>
      </c>
    </row>
    <row r="27">
      <c r="A27" t="str">
        <v>Golden State Valkyries</v>
      </c>
      <c r="B27" t="str">
        <v>Wing1</v>
      </c>
      <c r="C27">
        <v>21.7</v>
      </c>
      <c r="D27">
        <v>4.3</v>
      </c>
      <c r="E27">
        <v>4.1</v>
      </c>
      <c r="F27" s="1">
        <v>0.36</v>
      </c>
    </row>
    <row r="28">
      <c r="A28" t="str">
        <v>Golden State Valkyries</v>
      </c>
      <c r="B28" t="str">
        <v>Big1</v>
      </c>
      <c r="C28">
        <v>16.5</v>
      </c>
      <c r="D28">
        <v>6.4</v>
      </c>
      <c r="E28">
        <v>3.3</v>
      </c>
      <c r="F28" s="1">
        <v>0.176</v>
      </c>
    </row>
    <row r="29">
      <c r="A29" t="str">
        <v>Las Vegas Aces</v>
      </c>
      <c r="B29" t="str">
        <v>PG1</v>
      </c>
      <c r="C29">
        <v>21.8</v>
      </c>
      <c r="D29">
        <v>3</v>
      </c>
      <c r="E29">
        <v>7.2</v>
      </c>
      <c r="F29" s="1">
        <v>0.355</v>
      </c>
    </row>
    <row r="30">
      <c r="A30" t="str">
        <v>Las Vegas Aces</v>
      </c>
      <c r="B30" t="str">
        <v>Wing1</v>
      </c>
      <c r="C30">
        <v>14.2</v>
      </c>
      <c r="D30">
        <v>6.1</v>
      </c>
      <c r="E30">
        <v>2.1</v>
      </c>
      <c r="F30" s="1">
        <v>0.33</v>
      </c>
    </row>
    <row r="31">
      <c r="A31" t="str">
        <v>Las Vegas Aces</v>
      </c>
      <c r="B31" t="str">
        <v>Big1</v>
      </c>
      <c r="C31">
        <v>12.6</v>
      </c>
      <c r="D31">
        <v>7.2</v>
      </c>
      <c r="E31">
        <v>3.3</v>
      </c>
      <c r="F31" s="1">
        <v>0.195</v>
      </c>
    </row>
    <row r="32">
      <c r="A32" t="str">
        <v>Los Angeles Sparks</v>
      </c>
      <c r="B32" t="str">
        <v>PG1</v>
      </c>
      <c r="C32">
        <v>17.4</v>
      </c>
      <c r="D32">
        <v>3.6</v>
      </c>
      <c r="E32">
        <v>7.4</v>
      </c>
      <c r="F32" s="1">
        <v>0.315</v>
      </c>
    </row>
    <row r="33">
      <c r="A33" t="str">
        <v>Los Angeles Sparks</v>
      </c>
      <c r="B33" t="str">
        <v>Wing1</v>
      </c>
      <c r="C33">
        <v>22.5</v>
      </c>
      <c r="D33">
        <v>4.8</v>
      </c>
      <c r="E33">
        <v>2.3</v>
      </c>
      <c r="F33" s="1">
        <v>0.343</v>
      </c>
    </row>
    <row r="34">
      <c r="A34" t="str">
        <v>Los Angeles Sparks</v>
      </c>
      <c r="B34" t="str">
        <v>Big1</v>
      </c>
      <c r="C34">
        <v>23.6</v>
      </c>
      <c r="D34">
        <v>7.2</v>
      </c>
      <c r="E34">
        <v>2.3</v>
      </c>
      <c r="F34" s="1">
        <v>0.035</v>
      </c>
    </row>
    <row r="35">
      <c r="A35" t="str">
        <v>Minnesota Lynx</v>
      </c>
      <c r="B35" t="str">
        <v>PG1</v>
      </c>
      <c r="C35">
        <v>19.2</v>
      </c>
      <c r="D35">
        <v>3.5</v>
      </c>
      <c r="E35">
        <v>5.2</v>
      </c>
      <c r="F35" s="1">
        <v>0.419</v>
      </c>
    </row>
    <row r="36">
      <c r="A36" t="str">
        <v>Minnesota Lynx</v>
      </c>
      <c r="B36" t="str">
        <v>Wing1</v>
      </c>
      <c r="C36">
        <v>22.5</v>
      </c>
      <c r="D36">
        <v>4.4</v>
      </c>
      <c r="E36">
        <v>3.4</v>
      </c>
      <c r="F36" s="1">
        <v>0.338</v>
      </c>
    </row>
    <row r="37">
      <c r="A37" t="str">
        <v>Minnesota Lynx</v>
      </c>
      <c r="B37" t="str">
        <v>Big1</v>
      </c>
      <c r="C37">
        <v>9.1</v>
      </c>
      <c r="D37">
        <v>6.2</v>
      </c>
      <c r="E37">
        <v>2.1</v>
      </c>
      <c r="F37" s="1">
        <v>0.049</v>
      </c>
    </row>
    <row r="38">
      <c r="A38" t="str">
        <v>Phoenix Mercury</v>
      </c>
      <c r="B38" t="str">
        <v>PG1</v>
      </c>
      <c r="C38">
        <v>20.2</v>
      </c>
      <c r="D38">
        <v>3.1</v>
      </c>
      <c r="E38">
        <v>6.9</v>
      </c>
      <c r="F38" s="1">
        <v>0.388</v>
      </c>
    </row>
    <row r="39">
      <c r="A39" t="str">
        <v>Phoenix Mercury</v>
      </c>
      <c r="B39" t="str">
        <v>Wing1</v>
      </c>
      <c r="C39">
        <v>23.4</v>
      </c>
      <c r="D39">
        <v>6.5</v>
      </c>
      <c r="E39">
        <v>3.4</v>
      </c>
      <c r="F39" s="1">
        <v>0.382</v>
      </c>
    </row>
    <row r="40">
      <c r="A40" t="str">
        <v>Phoenix Mercury</v>
      </c>
      <c r="B40" t="str">
        <v>Big1</v>
      </c>
      <c r="C40">
        <v>14.3</v>
      </c>
      <c r="D40">
        <v>6.1</v>
      </c>
      <c r="E40">
        <v>0.9</v>
      </c>
      <c r="F40" s="1">
        <v>0.233</v>
      </c>
    </row>
    <row r="41">
      <c r="A41" t="str">
        <v>Portland Fire</v>
      </c>
      <c r="B41" t="str">
        <v>PG1</v>
      </c>
      <c r="C41">
        <v>17.9</v>
      </c>
      <c r="D41">
        <v>4.4</v>
      </c>
      <c r="E41">
        <v>8.6</v>
      </c>
      <c r="F41" s="1">
        <v>0.398</v>
      </c>
    </row>
    <row r="42">
      <c r="A42" t="str">
        <v>Portland Fire</v>
      </c>
      <c r="B42" t="str">
        <v>Wing1</v>
      </c>
      <c r="C42">
        <v>22.1</v>
      </c>
      <c r="D42">
        <v>7</v>
      </c>
      <c r="E42">
        <v>3.8</v>
      </c>
      <c r="F42" s="1">
        <v>0.392</v>
      </c>
    </row>
    <row r="43">
      <c r="A43" t="str">
        <v>Portland Fire</v>
      </c>
      <c r="B43" t="str">
        <v>Big1</v>
      </c>
      <c r="C43">
        <v>10.5</v>
      </c>
      <c r="D43">
        <v>7.8</v>
      </c>
      <c r="E43">
        <v>1.5</v>
      </c>
      <c r="F43" s="1">
        <v>0.153</v>
      </c>
    </row>
    <row r="44">
      <c r="A44" t="str">
        <v>Seattle Storm</v>
      </c>
      <c r="B44" t="str">
        <v>PG1</v>
      </c>
      <c r="C44">
        <v>17.2</v>
      </c>
      <c r="D44">
        <v>2.9</v>
      </c>
      <c r="E44">
        <v>8</v>
      </c>
      <c r="F44" s="1">
        <v>0.317</v>
      </c>
    </row>
    <row r="45">
      <c r="A45" t="str">
        <v>Seattle Storm</v>
      </c>
      <c r="B45" t="str">
        <v>Wing1</v>
      </c>
      <c r="C45">
        <v>15.6</v>
      </c>
      <c r="D45">
        <v>6.6</v>
      </c>
      <c r="E45">
        <v>3.4</v>
      </c>
      <c r="F45" s="1">
        <v>0.343</v>
      </c>
    </row>
    <row r="46">
      <c r="A46" t="str">
        <v>Seattle Storm</v>
      </c>
      <c r="B46" t="str">
        <v>Big1</v>
      </c>
      <c r="C46">
        <v>13</v>
      </c>
      <c r="D46">
        <v>12.1</v>
      </c>
      <c r="E46">
        <v>2.2</v>
      </c>
      <c r="F46" s="1">
        <v>0.262</v>
      </c>
    </row>
  </sheetData>
  <autoFilter ref="A1:F46"/>
  <ignoredErrors>
    <ignoredError numberStoredAsText="1" sqref="A1:F4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cols>
    <col min="1" max="1" width="22.83203125" customWidth="1"/>
    <col min="2" max="2" width="8.83203125" customWidth="1"/>
    <col min="3" max="3" width="9.83203125" customWidth="1"/>
    <col min="4" max="4" width="7.83203125" customWidth="1"/>
    <col min="5" max="5" width="6.83203125" customWidth="1"/>
    <col min="6" max="6" width="7.83203125" customWidth="1"/>
    <col min="7" max="7" width="8.83203125" customWidth="1"/>
    <col min="8" max="8" width="8.83203125" customWidth="1"/>
    <col min="9" max="9" width="15.83203125" customWidth="1"/>
    <col min="10" max="10" width="9.83203125" customWidth="1"/>
    <col min="11" max="11" width="11.83203125" customWidth="1"/>
  </cols>
  <sheetData>
    <row r="1">
      <c r="A1" t="str">
        <v>Team</v>
      </c>
      <c r="B1" t="str">
        <v>League</v>
      </c>
      <c r="C1" t="str">
        <v>Division</v>
      </c>
      <c r="D1" t="str">
        <v>Games</v>
      </c>
      <c r="E1" t="str">
        <v>Wins</v>
      </c>
      <c r="F1" t="str">
        <v>Losses</v>
      </c>
      <c r="G1" t="str">
        <v>Win %</v>
      </c>
      <c r="H1" t="str">
        <v>Runs/Gm</v>
      </c>
      <c r="I1" t="str">
        <v>Runs Allowed/Gm</v>
      </c>
      <c r="J1" t="str">
        <v>Run Diff</v>
      </c>
      <c r="K1" t="str">
        <v>Bullpen ERA</v>
      </c>
    </row>
    <row r="2">
      <c r="A2" t="str">
        <v>Baltimore Orioles</v>
      </c>
      <c r="B2" t="str">
        <v>AL</v>
      </c>
      <c r="C2" t="str">
        <v>East</v>
      </c>
      <c r="D2">
        <v>162</v>
      </c>
      <c r="E2">
        <v>80</v>
      </c>
      <c r="F2">
        <f>D2-E2</f>
      </c>
      <c r="G2" s="1">
        <f>E2/D2</f>
      </c>
      <c r="H2">
        <v>4.46</v>
      </c>
      <c r="I2">
        <v>4.53</v>
      </c>
      <c r="J2">
        <f>ROUND((H2-I2)*D2,0)</f>
      </c>
      <c r="K2">
        <v>3.91</v>
      </c>
    </row>
    <row r="3">
      <c r="A3" t="str">
        <v>Boston Red Sox</v>
      </c>
      <c r="B3" t="str">
        <v>AL</v>
      </c>
      <c r="C3" t="str">
        <v>East</v>
      </c>
      <c r="D3">
        <v>162</v>
      </c>
      <c r="E3">
        <v>78</v>
      </c>
      <c r="F3">
        <f>D3-E3</f>
      </c>
      <c r="G3" s="1">
        <f>E3/D3</f>
      </c>
      <c r="H3">
        <v>4.49</v>
      </c>
      <c r="I3">
        <v>5.13</v>
      </c>
      <c r="J3">
        <f>ROUND((H3-I3)*D3,0)</f>
      </c>
      <c r="K3">
        <v>3.44</v>
      </c>
    </row>
    <row r="4">
      <c r="A4" t="str">
        <v>New York Yankees</v>
      </c>
      <c r="B4" t="str">
        <v>AL</v>
      </c>
      <c r="C4" t="str">
        <v>East</v>
      </c>
      <c r="D4">
        <v>162</v>
      </c>
      <c r="E4">
        <v>91</v>
      </c>
      <c r="F4">
        <f>D4-E4</f>
      </c>
      <c r="G4" s="1">
        <f>E4/D4</f>
      </c>
      <c r="H4">
        <v>5.31</v>
      </c>
      <c r="I4">
        <v>4.91</v>
      </c>
      <c r="J4">
        <f>ROUND((H4-I4)*D4,0)</f>
      </c>
      <c r="K4">
        <v>3.77</v>
      </c>
    </row>
    <row r="5">
      <c r="A5" t="str">
        <v>Tampa Bay Rays</v>
      </c>
      <c r="B5" t="str">
        <v>AL</v>
      </c>
      <c r="C5" t="str">
        <v>East</v>
      </c>
      <c r="D5">
        <v>162</v>
      </c>
      <c r="E5">
        <v>97</v>
      </c>
      <c r="F5">
        <f>D5-E5</f>
      </c>
      <c r="G5" s="1">
        <f>E5/D5</f>
      </c>
      <c r="H5">
        <v>4.55</v>
      </c>
      <c r="I5">
        <v>5.32</v>
      </c>
      <c r="J5">
        <f>ROUND((H5-I5)*D5,0)</f>
      </c>
      <c r="K5">
        <v>4.09</v>
      </c>
    </row>
    <row r="6">
      <c r="A6" t="str">
        <v>Toronto Blue Jays</v>
      </c>
      <c r="B6" t="str">
        <v>AL</v>
      </c>
      <c r="C6" t="str">
        <v>East</v>
      </c>
      <c r="D6">
        <v>162</v>
      </c>
      <c r="E6">
        <v>73</v>
      </c>
      <c r="F6">
        <f>D6-E6</f>
      </c>
      <c r="G6" s="1">
        <f>E6/D6</f>
      </c>
      <c r="H6">
        <v>4.72</v>
      </c>
      <c r="I6">
        <v>4.54</v>
      </c>
      <c r="J6">
        <f>ROUND((H6-I6)*D6,0)</f>
      </c>
      <c r="K6">
        <v>3.5</v>
      </c>
    </row>
    <row r="7">
      <c r="A7" t="str">
        <v>Chicago White Sox</v>
      </c>
      <c r="B7" t="str">
        <v>AL</v>
      </c>
      <c r="C7" t="str">
        <v>Central</v>
      </c>
      <c r="D7">
        <v>162</v>
      </c>
      <c r="E7">
        <v>82</v>
      </c>
      <c r="F7">
        <f>D7-E7</f>
      </c>
      <c r="G7" s="1">
        <f>E7/D7</f>
      </c>
      <c r="H7">
        <v>4.73</v>
      </c>
      <c r="I7">
        <v>4.62</v>
      </c>
      <c r="J7">
        <f>ROUND((H7-I7)*D7,0)</f>
      </c>
      <c r="K7">
        <v>4.06</v>
      </c>
    </row>
    <row r="8">
      <c r="A8" t="str">
        <v>Cleveland Guardians</v>
      </c>
      <c r="B8" t="str">
        <v>AL</v>
      </c>
      <c r="C8" t="str">
        <v>Central</v>
      </c>
      <c r="D8">
        <v>162</v>
      </c>
      <c r="E8">
        <v>84</v>
      </c>
      <c r="F8">
        <f>D8-E8</f>
      </c>
      <c r="G8" s="1">
        <f>E8/D8</f>
      </c>
      <c r="H8">
        <v>5.35</v>
      </c>
      <c r="I8">
        <v>4.14</v>
      </c>
      <c r="J8">
        <f>ROUND((H8-I8)*D8,0)</f>
      </c>
      <c r="K8">
        <v>3.8</v>
      </c>
    </row>
    <row r="9">
      <c r="A9" t="str">
        <v>Detroit Tigers</v>
      </c>
      <c r="B9" t="str">
        <v>AL</v>
      </c>
      <c r="C9" t="str">
        <v>Central</v>
      </c>
      <c r="D9">
        <v>162</v>
      </c>
      <c r="E9">
        <v>82</v>
      </c>
      <c r="F9">
        <f>D9-E9</f>
      </c>
      <c r="G9" s="1">
        <f>E9/D9</f>
      </c>
      <c r="H9">
        <v>4.69</v>
      </c>
      <c r="I9">
        <v>5.16</v>
      </c>
      <c r="J9">
        <f>ROUND((H9-I9)*D9,0)</f>
      </c>
      <c r="K9">
        <v>3.92</v>
      </c>
    </row>
    <row r="10">
      <c r="A10" t="str">
        <v>Kansas City Royals</v>
      </c>
      <c r="B10" t="str">
        <v>AL</v>
      </c>
      <c r="C10" t="str">
        <v>Central</v>
      </c>
      <c r="D10">
        <v>162</v>
      </c>
      <c r="E10">
        <v>79</v>
      </c>
      <c r="F10">
        <f>D10-E10</f>
      </c>
      <c r="G10" s="1">
        <f>E10/D10</f>
      </c>
      <c r="H10">
        <v>5.12</v>
      </c>
      <c r="I10">
        <v>4.49</v>
      </c>
      <c r="J10">
        <f>ROUND((H10-I10)*D10,0)</f>
      </c>
      <c r="K10">
        <v>4</v>
      </c>
    </row>
    <row r="11">
      <c r="A11" t="str">
        <v>Minnesota Twins</v>
      </c>
      <c r="B11" t="str">
        <v>AL</v>
      </c>
      <c r="C11" t="str">
        <v>Central</v>
      </c>
      <c r="D11">
        <v>162</v>
      </c>
      <c r="E11">
        <v>74</v>
      </c>
      <c r="F11">
        <f>D11-E11</f>
      </c>
      <c r="G11" s="1">
        <f>E11/D11</f>
      </c>
      <c r="H11">
        <v>4.71</v>
      </c>
      <c r="I11">
        <v>4.47</v>
      </c>
      <c r="J11">
        <f>ROUND((H11-I11)*D11,0)</f>
      </c>
      <c r="K11">
        <v>3.51</v>
      </c>
    </row>
    <row r="12">
      <c r="A12" t="str">
        <v>Houston Astros</v>
      </c>
      <c r="B12" t="str">
        <v>AL</v>
      </c>
      <c r="C12" t="str">
        <v>West</v>
      </c>
      <c r="D12">
        <v>162</v>
      </c>
      <c r="E12">
        <v>76</v>
      </c>
      <c r="F12">
        <f>D12-E12</f>
      </c>
      <c r="G12" s="1">
        <f>E12/D12</f>
      </c>
      <c r="H12">
        <v>4.54</v>
      </c>
      <c r="I12">
        <v>4.05</v>
      </c>
      <c r="J12">
        <f>ROUND((H12-I12)*D12,0)</f>
      </c>
      <c r="K12">
        <v>3.64</v>
      </c>
    </row>
    <row r="13">
      <c r="A13" t="str">
        <v>Los Angeles Angels</v>
      </c>
      <c r="B13" t="str">
        <v>AL</v>
      </c>
      <c r="C13" t="str">
        <v>West</v>
      </c>
      <c r="D13">
        <v>162</v>
      </c>
      <c r="E13">
        <v>66</v>
      </c>
      <c r="F13">
        <f>D13-E13</f>
      </c>
      <c r="G13" s="1">
        <f>E13/D13</f>
      </c>
      <c r="H13">
        <v>4.59</v>
      </c>
      <c r="I13">
        <v>4.05</v>
      </c>
      <c r="J13">
        <f>ROUND((H13-I13)*D13,0)</f>
      </c>
      <c r="K13">
        <v>3.51</v>
      </c>
    </row>
    <row r="14">
      <c r="A14" t="str">
        <v>Athletics</v>
      </c>
      <c r="B14" t="str">
        <v>AL</v>
      </c>
      <c r="C14" t="str">
        <v>West</v>
      </c>
      <c r="D14">
        <v>162</v>
      </c>
      <c r="E14">
        <v>80</v>
      </c>
      <c r="F14">
        <f>D14-E14</f>
      </c>
      <c r="G14" s="1">
        <f>E14/D14</f>
      </c>
      <c r="H14">
        <v>3.92</v>
      </c>
      <c r="I14">
        <v>3.84</v>
      </c>
      <c r="J14">
        <f>ROUND((H14-I14)*D14,0)</f>
      </c>
      <c r="K14">
        <v>3.85</v>
      </c>
    </row>
    <row r="15">
      <c r="A15" t="str">
        <v>Seattle Mariners</v>
      </c>
      <c r="B15" t="str">
        <v>AL</v>
      </c>
      <c r="C15" t="str">
        <v>West</v>
      </c>
      <c r="D15">
        <v>162</v>
      </c>
      <c r="E15">
        <v>73</v>
      </c>
      <c r="F15">
        <f>D15-E15</f>
      </c>
      <c r="G15" s="1">
        <f>E15/D15</f>
      </c>
      <c r="H15">
        <v>4.41</v>
      </c>
      <c r="I15">
        <v>5.25</v>
      </c>
      <c r="J15">
        <f>ROUND((H15-I15)*D15,0)</f>
      </c>
      <c r="K15">
        <v>4.57</v>
      </c>
    </row>
    <row r="16">
      <c r="A16" t="str">
        <v>Texas Rangers</v>
      </c>
      <c r="B16" t="str">
        <v>AL</v>
      </c>
      <c r="C16" t="str">
        <v>West</v>
      </c>
      <c r="D16">
        <v>162</v>
      </c>
      <c r="E16">
        <v>97</v>
      </c>
      <c r="F16">
        <f>D16-E16</f>
      </c>
      <c r="G16" s="1">
        <f>E16/D16</f>
      </c>
      <c r="H16">
        <v>5.03</v>
      </c>
      <c r="I16">
        <v>3.7</v>
      </c>
      <c r="J16">
        <f>ROUND((H16-I16)*D16,0)</f>
      </c>
      <c r="K16">
        <v>4.41</v>
      </c>
    </row>
    <row r="17">
      <c r="A17" t="str">
        <v>Atlanta Braves</v>
      </c>
      <c r="B17" t="str">
        <v>NL</v>
      </c>
      <c r="C17" t="str">
        <v>East</v>
      </c>
      <c r="D17">
        <v>162</v>
      </c>
      <c r="E17">
        <v>104</v>
      </c>
      <c r="F17">
        <f>D17-E17</f>
      </c>
      <c r="G17" s="1">
        <f>E17/D17</f>
      </c>
      <c r="H17">
        <v>3.77</v>
      </c>
      <c r="I17">
        <v>3.62</v>
      </c>
      <c r="J17">
        <f>ROUND((H17-I17)*D17,0)</f>
      </c>
      <c r="K17">
        <v>3.38</v>
      </c>
    </row>
    <row r="18">
      <c r="A18" t="str">
        <v>Miami Marlins</v>
      </c>
      <c r="B18" t="str">
        <v>NL</v>
      </c>
      <c r="C18" t="str">
        <v>East</v>
      </c>
      <c r="D18">
        <v>162</v>
      </c>
      <c r="E18">
        <v>84</v>
      </c>
      <c r="F18">
        <f>D18-E18</f>
      </c>
      <c r="G18" s="1">
        <f>E18/D18</f>
      </c>
      <c r="H18">
        <v>3.72</v>
      </c>
      <c r="I18">
        <v>4.76</v>
      </c>
      <c r="J18">
        <f>ROUND((H18-I18)*D18,0)</f>
      </c>
      <c r="K18">
        <v>3.36</v>
      </c>
    </row>
    <row r="19">
      <c r="A19" t="str">
        <v>New York Mets</v>
      </c>
      <c r="B19" t="str">
        <v>NL</v>
      </c>
      <c r="C19" t="str">
        <v>East</v>
      </c>
      <c r="D19">
        <v>162</v>
      </c>
      <c r="E19">
        <v>93</v>
      </c>
      <c r="F19">
        <f>D19-E19</f>
      </c>
      <c r="G19" s="1">
        <f>E19/D19</f>
      </c>
      <c r="H19">
        <v>5.22</v>
      </c>
      <c r="I19">
        <v>3.81</v>
      </c>
      <c r="J19">
        <f>ROUND((H19-I19)*D19,0)</f>
      </c>
      <c r="K19">
        <v>3.48</v>
      </c>
    </row>
    <row r="20">
      <c r="A20" t="str">
        <v>Philadelphia Phillies</v>
      </c>
      <c r="B20" t="str">
        <v>NL</v>
      </c>
      <c r="C20" t="str">
        <v>East</v>
      </c>
      <c r="D20">
        <v>162</v>
      </c>
      <c r="E20">
        <v>62</v>
      </c>
      <c r="F20">
        <f>D20-E20</f>
      </c>
      <c r="G20" s="1">
        <f>E20/D20</f>
      </c>
      <c r="H20">
        <v>3.7</v>
      </c>
      <c r="I20">
        <v>4.65</v>
      </c>
      <c r="J20">
        <f>ROUND((H20-I20)*D20,0)</f>
      </c>
      <c r="K20">
        <v>4.26</v>
      </c>
    </row>
    <row r="21">
      <c r="A21" t="str">
        <v>Washington Nationals</v>
      </c>
      <c r="B21" t="str">
        <v>NL</v>
      </c>
      <c r="C21" t="str">
        <v>East</v>
      </c>
      <c r="D21">
        <v>162</v>
      </c>
      <c r="E21">
        <v>102</v>
      </c>
      <c r="F21">
        <f>D21-E21</f>
      </c>
      <c r="G21" s="1">
        <f>E21/D21</f>
      </c>
      <c r="H21">
        <v>5.09</v>
      </c>
      <c r="I21">
        <v>3.74</v>
      </c>
      <c r="J21">
        <f>ROUND((H21-I21)*D21,0)</f>
      </c>
      <c r="K21">
        <v>4.19</v>
      </c>
    </row>
    <row r="22">
      <c r="A22" t="str">
        <v>Chicago Cubs</v>
      </c>
      <c r="B22" t="str">
        <v>NL</v>
      </c>
      <c r="C22" t="str">
        <v>Central</v>
      </c>
      <c r="D22">
        <v>162</v>
      </c>
      <c r="E22">
        <v>88</v>
      </c>
      <c r="F22">
        <f>D22-E22</f>
      </c>
      <c r="G22" s="1">
        <f>E22/D22</f>
      </c>
      <c r="H22">
        <v>4.61</v>
      </c>
      <c r="I22">
        <v>4.17</v>
      </c>
      <c r="J22">
        <f>ROUND((H22-I22)*D22,0)</f>
      </c>
      <c r="K22">
        <v>4.29</v>
      </c>
    </row>
    <row r="23">
      <c r="A23" t="str">
        <v>Cincinnati Reds</v>
      </c>
      <c r="B23" t="str">
        <v>NL</v>
      </c>
      <c r="C23" t="str">
        <v>Central</v>
      </c>
      <c r="D23">
        <v>162</v>
      </c>
      <c r="E23">
        <v>63</v>
      </c>
      <c r="F23">
        <f>D23-E23</f>
      </c>
      <c r="G23" s="1">
        <f>E23/D23</f>
      </c>
      <c r="H23">
        <v>4.34</v>
      </c>
      <c r="I23">
        <v>4.14</v>
      </c>
      <c r="J23">
        <f>ROUND((H23-I23)*D23,0)</f>
      </c>
      <c r="K23">
        <v>4.29</v>
      </c>
    </row>
    <row r="24">
      <c r="A24" t="str">
        <v>Milwaukee Brewers</v>
      </c>
      <c r="B24" t="str">
        <v>NL</v>
      </c>
      <c r="C24" t="str">
        <v>Central</v>
      </c>
      <c r="D24">
        <v>162</v>
      </c>
      <c r="E24">
        <v>89</v>
      </c>
      <c r="F24">
        <f>D24-E24</f>
      </c>
      <c r="G24" s="1">
        <f>E24/D24</f>
      </c>
      <c r="H24">
        <v>3.69</v>
      </c>
      <c r="I24">
        <v>4.58</v>
      </c>
      <c r="J24">
        <f>ROUND((H24-I24)*D24,0)</f>
      </c>
      <c r="K24">
        <v>4.22</v>
      </c>
    </row>
    <row r="25">
      <c r="A25" t="str">
        <v>Pittsburgh Pirates</v>
      </c>
      <c r="B25" t="str">
        <v>NL</v>
      </c>
      <c r="C25" t="str">
        <v>Central</v>
      </c>
      <c r="D25">
        <v>162</v>
      </c>
      <c r="E25">
        <v>70</v>
      </c>
      <c r="F25">
        <f>D25-E25</f>
      </c>
      <c r="G25" s="1">
        <f>E25/D25</f>
      </c>
      <c r="H25">
        <v>5.01</v>
      </c>
      <c r="I25">
        <v>4.89</v>
      </c>
      <c r="J25">
        <f>ROUND((H25-I25)*D25,0)</f>
      </c>
      <c r="K25">
        <v>4.16</v>
      </c>
    </row>
    <row r="26">
      <c r="A26" t="str">
        <v>St. Louis Cardinals</v>
      </c>
      <c r="B26" t="str">
        <v>NL</v>
      </c>
      <c r="C26" t="str">
        <v>Central</v>
      </c>
      <c r="D26">
        <v>162</v>
      </c>
      <c r="E26">
        <v>59</v>
      </c>
      <c r="F26">
        <f>D26-E26</f>
      </c>
      <c r="G26" s="1">
        <f>E26/D26</f>
      </c>
      <c r="H26">
        <v>5.08</v>
      </c>
      <c r="I26">
        <v>3.74</v>
      </c>
      <c r="J26">
        <f>ROUND((H26-I26)*D26,0)</f>
      </c>
      <c r="K26">
        <v>3.98</v>
      </c>
    </row>
    <row r="27">
      <c r="A27" t="str">
        <v>Arizona Diamondbacks</v>
      </c>
      <c r="B27" t="str">
        <v>NL</v>
      </c>
      <c r="C27" t="str">
        <v>West</v>
      </c>
      <c r="D27">
        <v>162</v>
      </c>
      <c r="E27">
        <v>75</v>
      </c>
      <c r="F27">
        <f>D27-E27</f>
      </c>
      <c r="G27" s="1">
        <f>E27/D27</f>
      </c>
      <c r="H27">
        <v>4.86</v>
      </c>
      <c r="I27">
        <v>3.83</v>
      </c>
      <c r="J27">
        <f>ROUND((H27-I27)*D27,0)</f>
      </c>
      <c r="K27">
        <v>3.95</v>
      </c>
    </row>
    <row r="28">
      <c r="A28" t="str">
        <v>Colorado Rockies</v>
      </c>
      <c r="B28" t="str">
        <v>NL</v>
      </c>
      <c r="C28" t="str">
        <v>West</v>
      </c>
      <c r="D28">
        <v>162</v>
      </c>
      <c r="E28">
        <v>101</v>
      </c>
      <c r="F28">
        <f>D28-E28</f>
      </c>
      <c r="G28" s="1">
        <f>E28/D28</f>
      </c>
      <c r="H28">
        <v>3.84</v>
      </c>
      <c r="I28">
        <v>3.71</v>
      </c>
      <c r="J28">
        <f>ROUND((H28-I28)*D28,0)</f>
      </c>
      <c r="K28">
        <v>3.98</v>
      </c>
    </row>
    <row r="29">
      <c r="A29" t="str">
        <v>Los Angeles Dodgers</v>
      </c>
      <c r="B29" t="str">
        <v>NL</v>
      </c>
      <c r="C29" t="str">
        <v>West</v>
      </c>
      <c r="D29">
        <v>162</v>
      </c>
      <c r="E29">
        <v>68</v>
      </c>
      <c r="F29">
        <f>D29-E29</f>
      </c>
      <c r="G29" s="1">
        <f>E29/D29</f>
      </c>
      <c r="H29">
        <v>5.17</v>
      </c>
      <c r="I29">
        <v>4.18</v>
      </c>
      <c r="J29">
        <f>ROUND((H29-I29)*D29,0)</f>
      </c>
      <c r="K29">
        <v>3.71</v>
      </c>
    </row>
    <row r="30">
      <c r="A30" t="str">
        <v>San Diego Padres</v>
      </c>
      <c r="B30" t="str">
        <v>NL</v>
      </c>
      <c r="C30" t="str">
        <v>West</v>
      </c>
      <c r="D30">
        <v>162</v>
      </c>
      <c r="E30">
        <v>78</v>
      </c>
      <c r="F30">
        <f>D30-E30</f>
      </c>
      <c r="G30" s="1">
        <f>E30/D30</f>
      </c>
      <c r="H30">
        <v>5.17</v>
      </c>
      <c r="I30">
        <v>4.37</v>
      </c>
      <c r="J30">
        <f>ROUND((H30-I30)*D30,0)</f>
      </c>
      <c r="K30">
        <v>3.74</v>
      </c>
    </row>
    <row r="31">
      <c r="A31" t="str">
        <v>San Francisco Giants</v>
      </c>
      <c r="B31" t="str">
        <v>NL</v>
      </c>
      <c r="C31" t="str">
        <v>West</v>
      </c>
      <c r="D31">
        <v>162</v>
      </c>
      <c r="E31">
        <v>86</v>
      </c>
      <c r="F31">
        <f>D31-E31</f>
      </c>
      <c r="G31" s="1">
        <f>E31/D31</f>
      </c>
      <c r="H31">
        <v>4.68</v>
      </c>
      <c r="I31">
        <v>4.07</v>
      </c>
      <c r="J31">
        <f>ROUND((H31-I31)*D31,0)</f>
      </c>
      <c r="K31">
        <v>4.26</v>
      </c>
    </row>
  </sheetData>
  <autoFilter ref="A1:K31"/>
  <ignoredErrors>
    <ignoredError numberStoredAsText="1" sqref="A1:K3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I61"/>
  <sheetViews>
    <sheetView workbookViewId="0"/>
  </sheetViews>
  <cols>
    <col min="1" max="1" width="22.83203125" customWidth="1"/>
    <col min="2" max="2" width="6.83203125" customWidth="1"/>
    <col min="3" max="3" width="6.83203125" customWidth="1"/>
    <col min="4" max="4" width="6.83203125" customWidth="1"/>
    <col min="5" max="5" width="4.83203125" customWidth="1"/>
    <col min="6" max="6" width="4.83203125" customWidth="1"/>
    <col min="7" max="7" width="6.83203125" customWidth="1"/>
    <col min="8" max="8" width="5.83203125" customWidth="1"/>
    <col min="9" max="9" width="6.83203125" customWidth="1"/>
  </cols>
  <sheetData>
    <row r="1">
      <c r="A1" t="str">
        <v>Team</v>
      </c>
      <c r="B1" t="str">
        <v>Slot</v>
      </c>
      <c r="C1" t="str">
        <v>ERA</v>
      </c>
      <c r="D1" t="str">
        <v>WHIP</v>
      </c>
      <c r="E1" t="str">
        <v>W</v>
      </c>
      <c r="F1" t="str">
        <v>L</v>
      </c>
      <c r="G1" t="str">
        <v>AVG</v>
      </c>
      <c r="H1" t="str">
        <v>HR</v>
      </c>
      <c r="I1" t="str">
        <v>RBI</v>
      </c>
    </row>
    <row r="2">
      <c r="A2" t="str">
        <v>Baltimore Orioles</v>
      </c>
      <c r="B2" t="str">
        <v>SP1</v>
      </c>
      <c r="C2">
        <v>2.87</v>
      </c>
      <c r="D2">
        <v>1.28</v>
      </c>
      <c r="E2">
        <v>9</v>
      </c>
      <c r="F2">
        <v>11</v>
      </c>
    </row>
    <row r="3">
      <c r="A3" t="str">
        <v>Baltimore Orioles</v>
      </c>
      <c r="B3" t="str">
        <v>Bat1</v>
      </c>
      <c r="G3">
        <v>0.281</v>
      </c>
      <c r="H3">
        <v>47</v>
      </c>
      <c r="I3">
        <v>91</v>
      </c>
    </row>
    <row r="4">
      <c r="A4" t="str">
        <v>Boston Red Sox</v>
      </c>
      <c r="B4" t="str">
        <v>SP1</v>
      </c>
      <c r="C4">
        <v>4.06</v>
      </c>
      <c r="D4">
        <v>0.97</v>
      </c>
      <c r="E4">
        <v>14</v>
      </c>
      <c r="F4">
        <v>4</v>
      </c>
    </row>
    <row r="5">
      <c r="A5" t="str">
        <v>Boston Red Sox</v>
      </c>
      <c r="B5" t="str">
        <v>Bat1</v>
      </c>
      <c r="G5">
        <v>0.317</v>
      </c>
      <c r="H5">
        <v>31</v>
      </c>
      <c r="I5">
        <v>85</v>
      </c>
    </row>
    <row r="6">
      <c r="A6" t="str">
        <v>New York Yankees</v>
      </c>
      <c r="B6" t="str">
        <v>SP1</v>
      </c>
      <c r="C6">
        <v>3.93</v>
      </c>
      <c r="D6">
        <v>1.21</v>
      </c>
      <c r="E6">
        <v>13</v>
      </c>
      <c r="F6">
        <v>8</v>
      </c>
    </row>
    <row r="7">
      <c r="A7" t="str">
        <v>New York Yankees</v>
      </c>
      <c r="B7" t="str">
        <v>Bat1</v>
      </c>
      <c r="G7">
        <v>0.255</v>
      </c>
      <c r="H7">
        <v>24</v>
      </c>
      <c r="I7">
        <v>90</v>
      </c>
    </row>
    <row r="8">
      <c r="A8" t="str">
        <v>Tampa Bay Rays</v>
      </c>
      <c r="B8" t="str">
        <v>SP1</v>
      </c>
      <c r="C8">
        <v>3.25</v>
      </c>
      <c r="D8">
        <v>1.06</v>
      </c>
      <c r="E8">
        <v>15</v>
      </c>
      <c r="F8">
        <v>10</v>
      </c>
    </row>
    <row r="9">
      <c r="A9" t="str">
        <v>Tampa Bay Rays</v>
      </c>
      <c r="B9" t="str">
        <v>Bat1</v>
      </c>
      <c r="G9">
        <v>0.303</v>
      </c>
      <c r="H9">
        <v>18</v>
      </c>
      <c r="I9">
        <v>119</v>
      </c>
    </row>
    <row r="10">
      <c r="A10" t="str">
        <v>Toronto Blue Jays</v>
      </c>
      <c r="B10" t="str">
        <v>SP1</v>
      </c>
      <c r="C10">
        <v>3.99</v>
      </c>
      <c r="D10">
        <v>1.32</v>
      </c>
      <c r="E10">
        <v>17</v>
      </c>
      <c r="F10">
        <v>11</v>
      </c>
    </row>
    <row r="11">
      <c r="A11" t="str">
        <v>Toronto Blue Jays</v>
      </c>
      <c r="B11" t="str">
        <v>Bat1</v>
      </c>
      <c r="G11">
        <v>0.296</v>
      </c>
      <c r="H11">
        <v>27</v>
      </c>
      <c r="I11">
        <v>103</v>
      </c>
    </row>
    <row r="12">
      <c r="A12" t="str">
        <v>Chicago White Sox</v>
      </c>
      <c r="B12" t="str">
        <v>SP1</v>
      </c>
      <c r="C12">
        <v>4.76</v>
      </c>
      <c r="D12">
        <v>1.35</v>
      </c>
      <c r="E12">
        <v>16</v>
      </c>
      <c r="F12">
        <v>4</v>
      </c>
    </row>
    <row r="13">
      <c r="A13" t="str">
        <v>Chicago White Sox</v>
      </c>
      <c r="B13" t="str">
        <v>Bat1</v>
      </c>
      <c r="G13">
        <v>0.303</v>
      </c>
      <c r="H13">
        <v>50</v>
      </c>
      <c r="I13">
        <v>76</v>
      </c>
    </row>
    <row r="14">
      <c r="A14" t="str">
        <v>Cleveland Guardians</v>
      </c>
      <c r="B14" t="str">
        <v>SP1</v>
      </c>
      <c r="C14">
        <v>4.5</v>
      </c>
      <c r="D14">
        <v>1.05</v>
      </c>
      <c r="E14">
        <v>10</v>
      </c>
      <c r="F14">
        <v>5</v>
      </c>
    </row>
    <row r="15">
      <c r="A15" t="str">
        <v>Cleveland Guardians</v>
      </c>
      <c r="B15" t="str">
        <v>Bat1</v>
      </c>
      <c r="G15">
        <v>0.297</v>
      </c>
      <c r="H15">
        <v>35</v>
      </c>
      <c r="I15">
        <v>58</v>
      </c>
    </row>
    <row r="16">
      <c r="A16" t="str">
        <v>Detroit Tigers</v>
      </c>
      <c r="B16" t="str">
        <v>SP1</v>
      </c>
      <c r="C16">
        <v>3.68</v>
      </c>
      <c r="D16">
        <v>1.1</v>
      </c>
      <c r="E16">
        <v>8</v>
      </c>
      <c r="F16">
        <v>5</v>
      </c>
    </row>
    <row r="17">
      <c r="A17" t="str">
        <v>Detroit Tigers</v>
      </c>
      <c r="B17" t="str">
        <v>Bat1</v>
      </c>
      <c r="G17">
        <v>0.301</v>
      </c>
      <c r="H17">
        <v>44</v>
      </c>
      <c r="I17">
        <v>57</v>
      </c>
    </row>
    <row r="18">
      <c r="A18" t="str">
        <v>Kansas City Royals</v>
      </c>
      <c r="B18" t="str">
        <v>SP1</v>
      </c>
      <c r="C18">
        <v>3.2</v>
      </c>
      <c r="D18">
        <v>1.21</v>
      </c>
      <c r="E18">
        <v>14</v>
      </c>
      <c r="F18">
        <v>8</v>
      </c>
    </row>
    <row r="19">
      <c r="A19" t="str">
        <v>Kansas City Royals</v>
      </c>
      <c r="B19" t="str">
        <v>Bat1</v>
      </c>
      <c r="G19">
        <v>0.255</v>
      </c>
      <c r="H19">
        <v>31</v>
      </c>
      <c r="I19">
        <v>81</v>
      </c>
    </row>
    <row r="20">
      <c r="A20" t="str">
        <v>Minnesota Twins</v>
      </c>
      <c r="B20" t="str">
        <v>SP1</v>
      </c>
      <c r="C20">
        <v>2.75</v>
      </c>
      <c r="D20">
        <v>1.33</v>
      </c>
      <c r="E20">
        <v>17</v>
      </c>
      <c r="F20">
        <v>8</v>
      </c>
    </row>
    <row r="21">
      <c r="A21" t="str">
        <v>Minnesota Twins</v>
      </c>
      <c r="B21" t="str">
        <v>Bat1</v>
      </c>
      <c r="G21">
        <v>0.277</v>
      </c>
      <c r="H21">
        <v>35</v>
      </c>
      <c r="I21">
        <v>122</v>
      </c>
    </row>
    <row r="22">
      <c r="A22" t="str">
        <v>Houston Astros</v>
      </c>
      <c r="B22" t="str">
        <v>SP1</v>
      </c>
      <c r="C22">
        <v>4.48</v>
      </c>
      <c r="D22">
        <v>1</v>
      </c>
      <c r="E22">
        <v>12</v>
      </c>
      <c r="F22">
        <v>6</v>
      </c>
    </row>
    <row r="23">
      <c r="A23" t="str">
        <v>Houston Astros</v>
      </c>
      <c r="B23" t="str">
        <v>Bat1</v>
      </c>
      <c r="G23">
        <v>0.254</v>
      </c>
      <c r="H23">
        <v>16</v>
      </c>
      <c r="I23">
        <v>78</v>
      </c>
    </row>
    <row r="24">
      <c r="A24" t="str">
        <v>Los Angeles Angels</v>
      </c>
      <c r="B24" t="str">
        <v>SP1</v>
      </c>
      <c r="C24">
        <v>4.02</v>
      </c>
      <c r="D24">
        <v>1.33</v>
      </c>
      <c r="E24">
        <v>10</v>
      </c>
      <c r="F24">
        <v>10</v>
      </c>
    </row>
    <row r="25">
      <c r="A25" t="str">
        <v>Los Angeles Angels</v>
      </c>
      <c r="B25" t="str">
        <v>Bat1</v>
      </c>
      <c r="G25">
        <v>0.264</v>
      </c>
      <c r="H25">
        <v>43</v>
      </c>
      <c r="I25">
        <v>116</v>
      </c>
    </row>
    <row r="26">
      <c r="A26" t="str">
        <v>Athletics</v>
      </c>
      <c r="B26" t="str">
        <v>SP1</v>
      </c>
      <c r="C26">
        <v>3.23</v>
      </c>
      <c r="D26">
        <v>1.03</v>
      </c>
      <c r="E26">
        <v>10</v>
      </c>
      <c r="F26">
        <v>6</v>
      </c>
    </row>
    <row r="27">
      <c r="A27" t="str">
        <v>Athletics</v>
      </c>
      <c r="B27" t="str">
        <v>Bat1</v>
      </c>
      <c r="G27">
        <v>0.316</v>
      </c>
      <c r="H27">
        <v>41</v>
      </c>
      <c r="I27">
        <v>77</v>
      </c>
    </row>
    <row r="28">
      <c r="A28" t="str">
        <v>Seattle Mariners</v>
      </c>
      <c r="B28" t="str">
        <v>SP1</v>
      </c>
      <c r="C28">
        <v>3.12</v>
      </c>
      <c r="D28">
        <v>1.14</v>
      </c>
      <c r="E28">
        <v>12</v>
      </c>
      <c r="F28">
        <v>9</v>
      </c>
    </row>
    <row r="29">
      <c r="A29" t="str">
        <v>Seattle Mariners</v>
      </c>
      <c r="B29" t="str">
        <v>Bat1</v>
      </c>
      <c r="G29">
        <v>0.292</v>
      </c>
      <c r="H29">
        <v>26</v>
      </c>
      <c r="I29">
        <v>79</v>
      </c>
    </row>
    <row r="30">
      <c r="A30" t="str">
        <v>Texas Rangers</v>
      </c>
      <c r="B30" t="str">
        <v>SP1</v>
      </c>
      <c r="C30">
        <v>4.25</v>
      </c>
      <c r="D30">
        <v>1.11</v>
      </c>
      <c r="E30">
        <v>16</v>
      </c>
      <c r="F30">
        <v>9</v>
      </c>
    </row>
    <row r="31">
      <c r="A31" t="str">
        <v>Texas Rangers</v>
      </c>
      <c r="B31" t="str">
        <v>Bat1</v>
      </c>
      <c r="G31">
        <v>0.272</v>
      </c>
      <c r="H31">
        <v>44</v>
      </c>
      <c r="I31">
        <v>60</v>
      </c>
    </row>
    <row r="32">
      <c r="A32" t="str">
        <v>Atlanta Braves</v>
      </c>
      <c r="B32" t="str">
        <v>SP1</v>
      </c>
      <c r="C32">
        <v>4.64</v>
      </c>
      <c r="D32">
        <v>1.16</v>
      </c>
      <c r="E32">
        <v>8</v>
      </c>
      <c r="F32">
        <v>8</v>
      </c>
    </row>
    <row r="33">
      <c r="A33" t="str">
        <v>Atlanta Braves</v>
      </c>
      <c r="B33" t="str">
        <v>Bat1</v>
      </c>
      <c r="G33">
        <v>0.317</v>
      </c>
      <c r="H33">
        <v>24</v>
      </c>
      <c r="I33">
        <v>110</v>
      </c>
    </row>
    <row r="34">
      <c r="A34" t="str">
        <v>Miami Marlins</v>
      </c>
      <c r="B34" t="str">
        <v>SP1</v>
      </c>
      <c r="C34">
        <v>3.84</v>
      </c>
      <c r="D34">
        <v>1.12</v>
      </c>
      <c r="E34">
        <v>17</v>
      </c>
      <c r="F34">
        <v>8</v>
      </c>
    </row>
    <row r="35">
      <c r="A35" t="str">
        <v>Miami Marlins</v>
      </c>
      <c r="B35" t="str">
        <v>Bat1</v>
      </c>
      <c r="G35">
        <v>0.256</v>
      </c>
      <c r="H35">
        <v>19</v>
      </c>
      <c r="I35">
        <v>75</v>
      </c>
    </row>
    <row r="36">
      <c r="A36" t="str">
        <v>New York Mets</v>
      </c>
      <c r="B36" t="str">
        <v>SP1</v>
      </c>
      <c r="C36">
        <v>2.93</v>
      </c>
      <c r="D36">
        <v>1.29</v>
      </c>
      <c r="E36">
        <v>10</v>
      </c>
      <c r="F36">
        <v>10</v>
      </c>
    </row>
    <row r="37">
      <c r="A37" t="str">
        <v>New York Mets</v>
      </c>
      <c r="B37" t="str">
        <v>Bat1</v>
      </c>
      <c r="G37">
        <v>0.275</v>
      </c>
      <c r="H37">
        <v>22</v>
      </c>
      <c r="I37">
        <v>75</v>
      </c>
    </row>
    <row r="38">
      <c r="A38" t="str">
        <v>Philadelphia Phillies</v>
      </c>
      <c r="B38" t="str">
        <v>SP1</v>
      </c>
      <c r="C38">
        <v>2.91</v>
      </c>
      <c r="D38">
        <v>1.27</v>
      </c>
      <c r="E38">
        <v>12</v>
      </c>
      <c r="F38">
        <v>8</v>
      </c>
    </row>
    <row r="39">
      <c r="A39" t="str">
        <v>Philadelphia Phillies</v>
      </c>
      <c r="B39" t="str">
        <v>Bat1</v>
      </c>
      <c r="G39">
        <v>0.287</v>
      </c>
      <c r="H39">
        <v>38</v>
      </c>
      <c r="I39">
        <v>88</v>
      </c>
    </row>
    <row r="40">
      <c r="A40" t="str">
        <v>Washington Nationals</v>
      </c>
      <c r="B40" t="str">
        <v>SP1</v>
      </c>
      <c r="C40">
        <v>3.31</v>
      </c>
      <c r="D40">
        <v>0.98</v>
      </c>
      <c r="E40">
        <v>10</v>
      </c>
      <c r="F40">
        <v>3</v>
      </c>
    </row>
    <row r="41">
      <c r="A41" t="str">
        <v>Washington Nationals</v>
      </c>
      <c r="B41" t="str">
        <v>Bat1</v>
      </c>
      <c r="G41">
        <v>0.309</v>
      </c>
      <c r="H41">
        <v>27</v>
      </c>
      <c r="I41">
        <v>70</v>
      </c>
    </row>
    <row r="42">
      <c r="A42" t="str">
        <v>Chicago Cubs</v>
      </c>
      <c r="B42" t="str">
        <v>SP1</v>
      </c>
      <c r="C42">
        <v>3.89</v>
      </c>
      <c r="D42">
        <v>1.22</v>
      </c>
      <c r="E42">
        <v>14</v>
      </c>
      <c r="F42">
        <v>12</v>
      </c>
    </row>
    <row r="43">
      <c r="A43" t="str">
        <v>Chicago Cubs</v>
      </c>
      <c r="B43" t="str">
        <v>Bat1</v>
      </c>
      <c r="G43">
        <v>0.258</v>
      </c>
      <c r="H43">
        <v>38</v>
      </c>
      <c r="I43">
        <v>112</v>
      </c>
    </row>
    <row r="44">
      <c r="A44" t="str">
        <v>Cincinnati Reds</v>
      </c>
      <c r="B44" t="str">
        <v>SP1</v>
      </c>
      <c r="C44">
        <v>3.96</v>
      </c>
      <c r="D44">
        <v>1.25</v>
      </c>
      <c r="E44">
        <v>12</v>
      </c>
      <c r="F44">
        <v>8</v>
      </c>
    </row>
    <row r="45">
      <c r="A45" t="str">
        <v>Cincinnati Reds</v>
      </c>
      <c r="B45" t="str">
        <v>Bat1</v>
      </c>
      <c r="G45">
        <v>0.249</v>
      </c>
      <c r="H45">
        <v>38</v>
      </c>
      <c r="I45">
        <v>89</v>
      </c>
    </row>
    <row r="46">
      <c r="A46" t="str">
        <v>Milwaukee Brewers</v>
      </c>
      <c r="B46" t="str">
        <v>SP1</v>
      </c>
      <c r="C46">
        <v>3.98</v>
      </c>
      <c r="D46">
        <v>1</v>
      </c>
      <c r="E46">
        <v>17</v>
      </c>
      <c r="F46">
        <v>8</v>
      </c>
    </row>
    <row r="47">
      <c r="A47" t="str">
        <v>Milwaukee Brewers</v>
      </c>
      <c r="B47" t="str">
        <v>Bat1</v>
      </c>
      <c r="G47">
        <v>0.296</v>
      </c>
      <c r="H47">
        <v>35</v>
      </c>
      <c r="I47">
        <v>80</v>
      </c>
    </row>
    <row r="48">
      <c r="A48" t="str">
        <v>Pittsburgh Pirates</v>
      </c>
      <c r="B48" t="str">
        <v>SP1</v>
      </c>
      <c r="C48">
        <v>2.72</v>
      </c>
      <c r="D48">
        <v>1</v>
      </c>
      <c r="E48">
        <v>14</v>
      </c>
      <c r="F48">
        <v>12</v>
      </c>
    </row>
    <row r="49">
      <c r="A49" t="str">
        <v>Pittsburgh Pirates</v>
      </c>
      <c r="B49" t="str">
        <v>Bat1</v>
      </c>
      <c r="G49">
        <v>0.286</v>
      </c>
      <c r="H49">
        <v>33</v>
      </c>
      <c r="I49">
        <v>112</v>
      </c>
    </row>
    <row r="50">
      <c r="A50" t="str">
        <v>St. Louis Cardinals</v>
      </c>
      <c r="B50" t="str">
        <v>SP1</v>
      </c>
      <c r="C50">
        <v>3.52</v>
      </c>
      <c r="D50">
        <v>1</v>
      </c>
      <c r="E50">
        <v>9</v>
      </c>
      <c r="F50">
        <v>10</v>
      </c>
    </row>
    <row r="51">
      <c r="A51" t="str">
        <v>St. Louis Cardinals</v>
      </c>
      <c r="B51" t="str">
        <v>Bat1</v>
      </c>
      <c r="G51">
        <v>0.296</v>
      </c>
      <c r="H51">
        <v>51</v>
      </c>
      <c r="I51">
        <v>100</v>
      </c>
    </row>
    <row r="52">
      <c r="A52" t="str">
        <v>Arizona Diamondbacks</v>
      </c>
      <c r="B52" t="str">
        <v>SP1</v>
      </c>
      <c r="C52">
        <v>3.26</v>
      </c>
      <c r="D52">
        <v>1.29</v>
      </c>
      <c r="E52">
        <v>13</v>
      </c>
      <c r="F52">
        <v>10</v>
      </c>
    </row>
    <row r="53">
      <c r="A53" t="str">
        <v>Arizona Diamondbacks</v>
      </c>
      <c r="B53" t="str">
        <v>Bat1</v>
      </c>
      <c r="G53">
        <v>0.298</v>
      </c>
      <c r="H53">
        <v>42</v>
      </c>
      <c r="I53">
        <v>63</v>
      </c>
    </row>
    <row r="54">
      <c r="A54" t="str">
        <v>Colorado Rockies</v>
      </c>
      <c r="B54" t="str">
        <v>SP1</v>
      </c>
      <c r="C54">
        <v>3.84</v>
      </c>
      <c r="D54">
        <v>1.07</v>
      </c>
      <c r="E54">
        <v>12</v>
      </c>
      <c r="F54">
        <v>6</v>
      </c>
    </row>
    <row r="55">
      <c r="A55" t="str">
        <v>Colorado Rockies</v>
      </c>
      <c r="B55" t="str">
        <v>Bat1</v>
      </c>
      <c r="G55">
        <v>0.297</v>
      </c>
      <c r="H55">
        <v>37</v>
      </c>
      <c r="I55">
        <v>106</v>
      </c>
    </row>
    <row r="56">
      <c r="A56" t="str">
        <v>Los Angeles Dodgers</v>
      </c>
      <c r="B56" t="str">
        <v>SP1</v>
      </c>
      <c r="C56">
        <v>2.85</v>
      </c>
      <c r="D56">
        <v>1.2</v>
      </c>
      <c r="E56">
        <v>15</v>
      </c>
      <c r="F56">
        <v>11</v>
      </c>
    </row>
    <row r="57">
      <c r="A57" t="str">
        <v>Los Angeles Dodgers</v>
      </c>
      <c r="B57" t="str">
        <v>Bat1</v>
      </c>
      <c r="G57">
        <v>0.295</v>
      </c>
      <c r="H57">
        <v>21</v>
      </c>
      <c r="I57">
        <v>82</v>
      </c>
    </row>
    <row r="58">
      <c r="A58" t="str">
        <v>San Diego Padres</v>
      </c>
      <c r="B58" t="str">
        <v>SP1</v>
      </c>
      <c r="C58">
        <v>3.42</v>
      </c>
      <c r="D58">
        <v>0.97</v>
      </c>
      <c r="E58">
        <v>18</v>
      </c>
      <c r="F58">
        <v>9</v>
      </c>
    </row>
    <row r="59">
      <c r="A59" t="str">
        <v>San Diego Padres</v>
      </c>
      <c r="B59" t="str">
        <v>Bat1</v>
      </c>
      <c r="G59">
        <v>0.303</v>
      </c>
      <c r="H59">
        <v>17</v>
      </c>
      <c r="I59">
        <v>88</v>
      </c>
    </row>
    <row r="60">
      <c r="A60" t="str">
        <v>San Francisco Giants</v>
      </c>
      <c r="B60" t="str">
        <v>SP1</v>
      </c>
      <c r="C60">
        <v>4.26</v>
      </c>
      <c r="D60">
        <v>1.1</v>
      </c>
      <c r="E60">
        <v>6</v>
      </c>
      <c r="F60">
        <v>10</v>
      </c>
    </row>
    <row r="61">
      <c r="A61" t="str">
        <v>San Francisco Giants</v>
      </c>
      <c r="B61" t="str">
        <v>Bat1</v>
      </c>
      <c r="G61">
        <v>0.292</v>
      </c>
      <c r="H61">
        <v>41</v>
      </c>
      <c r="I61">
        <v>110</v>
      </c>
    </row>
  </sheetData>
  <autoFilter ref="A1:I61"/>
  <ignoredErrors>
    <ignoredError numberStoredAsText="1" sqref="A1:I6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cols>
    <col min="1" max="1" width="20.83203125" customWidth="1"/>
    <col min="2" max="2" width="22.83203125" customWidth="1"/>
    <col min="3" max="3" width="40.83203125" customWidth="1"/>
    <col min="4" max="4" width="40.83203125" customWidth="1"/>
    <col min="5" max="5" width="35.83203125" customWidth="1"/>
  </cols>
  <sheetData>
    <row r="1">
      <c r="A1" t="str">
        <v>NFL WIND IMPACT MODEL</v>
      </c>
    </row>
    <row r="2">
      <c r="A2" t="str">
        <v>Category</v>
      </c>
      <c r="B2" t="str">
        <v>Wind Speed (mph)</v>
      </c>
      <c r="C2" t="str">
        <v>Passing Impact</v>
      </c>
      <c r="D2" t="str">
        <v>Kicking / Field Goal Impact</v>
      </c>
      <c r="E2" t="str">
        <v>Suggested Betting Lean</v>
      </c>
    </row>
    <row r="3">
      <c r="A3" t="str">
        <v>Little/No Wind</v>
      </c>
      <c r="B3" t="str">
        <v>0-6</v>
      </c>
      <c r="C3" t="str">
        <v>Normal passing production and efficiency</v>
      </c>
      <c r="D3" t="str">
        <v>FG% near season norms (~83% on standard attempts)</v>
      </c>
      <c r="E3" t="str">
        <v>No adjustment</v>
      </c>
    </row>
    <row r="4">
      <c r="A4" t="str">
        <v>Minimal</v>
      </c>
      <c r="B4" t="str">
        <v>7-14</v>
      </c>
      <c r="C4" t="str">
        <v>Slight dip in deep-ball accuracy</v>
      </c>
      <c r="D4" t="str">
        <v>Marginal FG impact</v>
      </c>
      <c r="E4" t="str">
        <v>No material adjustment</v>
      </c>
    </row>
    <row r="5">
      <c r="A5" t="str">
        <v>Significant</v>
      </c>
      <c r="B5" t="str">
        <v>15-25</v>
      </c>
      <c r="C5" t="str">
        <v>Noticeable accuracy loss on deep/intermediate throws</v>
      </c>
      <c r="D5" t="str">
        <v>FG attempts beyond ~40 yards meaningfully less accurate</v>
      </c>
      <c r="E5" t="str">
        <v>Lean unders / fewer long FG attempts</v>
      </c>
    </row>
    <row r="6">
      <c r="A6" t="str">
        <v>Extreme</v>
      </c>
      <c r="B6" t="str">
        <v>26-34</v>
      </c>
      <c r="C6" t="str">
        <v>Passing volume and efficiency both drop</v>
      </c>
      <c r="D6" t="str">
        <v>Long FG attempts highly unreliable</v>
      </c>
      <c r="E6" t="str">
        <v>Lean run-heavy game script, unders</v>
      </c>
    </row>
    <row r="7">
      <c r="A7" t="str">
        <v>Insane (rare)</v>
      </c>
      <c r="B7" t="str">
        <v>35-50</v>
      </c>
      <c r="C7" t="str">
        <v>Passing historically collapses</v>
      </c>
      <c r="D7" t="str">
        <v>Kicking game severely compromised</v>
      </c>
      <c r="E7" t="str">
        <v>Strong lean to unders / run-heavy script</v>
      </c>
    </row>
    <row r="8">
      <c r="A8" t="str">
        <v/>
      </c>
    </row>
    <row r="9">
      <c r="A9" t="str">
        <v>NFL TEMPERATURE IMPACT MODEL</v>
      </c>
    </row>
    <row r="10">
      <c r="A10" t="str">
        <v>Category</v>
      </c>
      <c r="B10" t="str">
        <v>Temp Range (°F)</v>
      </c>
      <c r="C10" t="str">
        <v>Passing Impact</v>
      </c>
      <c r="D10" t="str">
        <v>Kicking Impact</v>
      </c>
      <c r="E10" t="str">
        <v>Scoring Impact</v>
      </c>
    </row>
    <row r="11">
      <c r="A11" t="str">
        <v>Freezing</v>
      </c>
      <c r="B11" t="str">
        <v>0-25</v>
      </c>
      <c r="C11" t="str">
        <v>Completion % drops ~2 points</v>
      </c>
      <c r="D11" t="str">
        <v>FG accuracy dips slightly (&lt;2%)</v>
      </c>
      <c r="E11" t="str">
        <v>Scoring stays roughly stable</v>
      </c>
    </row>
    <row r="12">
      <c r="A12" t="str">
        <v>Cold</v>
      </c>
      <c r="B12" t="str">
        <v>26-50</v>
      </c>
      <c r="C12" t="str">
        <v>Minimal measurable effect</v>
      </c>
      <c r="D12" t="str">
        <v>Minimal measurable effect</v>
      </c>
      <c r="E12" t="str">
        <v>No material change</v>
      </c>
    </row>
    <row r="13">
      <c r="A13" t="str">
        <v>Warm (baseline)</v>
      </c>
      <c r="B13" t="str">
        <v>51-75</v>
      </c>
      <c r="C13" t="str">
        <v>Normal / baseline conditions</v>
      </c>
      <c r="D13" t="str">
        <v>Normal / baseline conditions</v>
      </c>
      <c r="E13" t="str">
        <v>No adjustment</v>
      </c>
    </row>
    <row r="14">
      <c r="A14" t="str">
        <v>Hot</v>
      </c>
      <c r="B14" t="str">
        <v>76-100</v>
      </c>
      <c r="C14" t="str">
        <v>Late-game fatigue possible</v>
      </c>
      <c r="D14" t="str">
        <v>No material change</v>
      </c>
      <c r="E14" t="str">
        <v>No material change</v>
      </c>
    </row>
    <row r="15">
      <c r="A15" t="str">
        <v>Extreme Heat</v>
      </c>
      <c r="B15" t="str">
        <v>101+</v>
      </c>
      <c r="C15" t="str">
        <v>Elevated fatigue / injury risk</v>
      </c>
      <c r="D15" t="str">
        <v>No material change</v>
      </c>
      <c r="E15" t="str">
        <v>Substitution-pattern effects only</v>
      </c>
    </row>
    <row r="16">
      <c r="A16" t="str">
        <v/>
      </c>
    </row>
    <row r="17">
      <c r="A17" t="str">
        <v>MLB WEATHER &amp; PARK FACTORS</v>
      </c>
    </row>
    <row r="18">
      <c r="A18" t="str">
        <v>Factor</v>
      </c>
      <c r="B18" t="str">
        <v>Condition</v>
      </c>
      <c r="C18" t="str">
        <v>Effect on Ball Flight / Scoring</v>
      </c>
    </row>
    <row r="19">
      <c r="A19" t="str">
        <v>Temperature</v>
      </c>
      <c r="B19" t="str">
        <v>Hot (85°F+)</v>
      </c>
      <c r="C19" t="str">
        <v>Warmer, less-dense air increases batted-ball carry — home run rate trends up</v>
      </c>
    </row>
    <row r="20">
      <c r="A20" t="str">
        <v>Temperature</v>
      </c>
      <c r="B20" t="str">
        <v>Cold (≤50°F)</v>
      </c>
      <c r="C20" t="str">
        <v>Cooler, denser air suppresses carry — fewer home runs, lean toward the under</v>
      </c>
    </row>
    <row r="21">
      <c r="A21" t="str">
        <v>Altitude</v>
      </c>
      <c r="B21" t="str">
        <v>High elevation (e.g. Coors Field, ~5,200 ft)</v>
      </c>
      <c r="C21" t="str">
        <v>Thinner air reduces drag, well-documented boost to run scoring and HR distance vs. sea level</v>
      </c>
    </row>
    <row r="22">
      <c r="A22" t="str">
        <v>Humidity</v>
      </c>
      <c r="B22" t="str">
        <v>High humidity</v>
      </c>
      <c r="C22" t="str">
        <v>Moist air is slightly less dense than dry air — marginally increases carry, smaller effect than temp/altitude</v>
      </c>
    </row>
    <row r="23">
      <c r="A23" t="str">
        <v>Wind</v>
      </c>
      <c r="B23" t="str">
        <v>Blowing out</v>
      </c>
      <c r="C23" t="str">
        <v>Meaningfully increases home run probability — lean the over</v>
      </c>
    </row>
    <row r="24">
      <c r="A24" t="str">
        <v>Wind</v>
      </c>
      <c r="B24" t="str">
        <v>Blowing in</v>
      </c>
      <c r="C24" t="str">
        <v>Suppresses fly-ball carry — lean the under</v>
      </c>
    </row>
    <row r="25">
      <c r="A25" t="str">
        <v/>
      </c>
    </row>
    <row r="26">
      <c r="A26" t="str">
        <v>Note: NBA, WNBA and NHL are played indoors — weather is not a modeled factor for those three leagues.</v>
      </c>
    </row>
  </sheetData>
  <mergeCells count="4">
    <mergeCell ref="A1:E1"/>
    <mergeCell ref="A9:E9"/>
    <mergeCell ref="A17:E17"/>
    <mergeCell ref="A25:E25"/>
  </mergeCells>
  <ignoredErrors>
    <ignoredError numberStoredAsText="1" sqref="A1:E26"/>
  </ignoredError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README</vt:lpstr>
      <vt:lpstr>NFL Teams</vt:lpstr>
      <vt:lpstr>NFL Players</vt:lpstr>
      <vt:lpstr>NBA Teams</vt:lpstr>
      <vt:lpstr>NBA Players</vt:lpstr>
      <vt:lpstr>NHL Teams</vt:lpstr>
      <vt:lpstr>NHL Players</vt:lpstr>
      <vt:lpstr>WNBA Teams</vt:lpstr>
      <vt:lpstr>WNBA Players</vt:lpstr>
      <vt:lpstr>MLB Teams</vt:lpstr>
      <vt:lpstr>MLB Players</vt:lpstr>
      <vt:lpstr>Weather Model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